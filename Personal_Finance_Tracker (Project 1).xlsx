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/>
  </bookViews>
  <sheets>
    <sheet name="Transactions" sheetId="1" r:id="rId1"/>
    <sheet name="Sheet1" sheetId="4" r:id="rId2"/>
    <sheet name="Summary" sheetId="2" r:id="rId3"/>
    <sheet name="Dashboard" sheetId="3" r:id="rId4"/>
  </sheets>
  <calcPr calcId="152511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N5" i="1" l="1"/>
  <c r="N6" i="1" s="1"/>
  <c r="N3" i="1"/>
  <c r="N4" i="1"/>
  <c r="M5" i="1"/>
  <c r="M4" i="1"/>
  <c r="M3" i="1"/>
  <c r="B14" i="3"/>
  <c r="B13" i="3"/>
  <c r="B12" i="3"/>
  <c r="B11" i="3"/>
  <c r="B10" i="3"/>
  <c r="C5" i="3"/>
  <c r="A5" i="3"/>
  <c r="E5" i="3" s="1"/>
  <c r="G5" i="3" s="1"/>
  <c r="B14" i="2"/>
  <c r="C14" i="2" s="1"/>
  <c r="B13" i="2"/>
  <c r="B12" i="2"/>
  <c r="B11" i="2"/>
  <c r="B10" i="2"/>
  <c r="B9" i="2"/>
  <c r="B8" i="2"/>
  <c r="B7" i="2"/>
  <c r="B6" i="2"/>
  <c r="C6" i="2" s="1"/>
  <c r="B5" i="2"/>
  <c r="F4" i="2"/>
  <c r="F5" i="2" s="1"/>
  <c r="B4" i="2"/>
  <c r="F3" i="2"/>
  <c r="B3" i="2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C7" i="2" l="1"/>
  <c r="C8" i="2"/>
  <c r="B15" i="2"/>
  <c r="C5" i="2"/>
  <c r="C10" i="2"/>
  <c r="D14" i="3"/>
  <c r="C4" i="2"/>
  <c r="C11" i="2"/>
  <c r="C11" i="3"/>
  <c r="C12" i="2"/>
  <c r="C12" i="3"/>
  <c r="C13" i="2"/>
  <c r="D13" i="3"/>
  <c r="D12" i="3"/>
  <c r="C9" i="2"/>
  <c r="C3" i="2"/>
  <c r="C10" i="3"/>
  <c r="D10" i="3"/>
  <c r="C13" i="3"/>
  <c r="D11" i="3"/>
  <c r="C14" i="3"/>
</calcChain>
</file>

<file path=xl/sharedStrings.xml><?xml version="1.0" encoding="utf-8"?>
<sst xmlns="http://schemas.openxmlformats.org/spreadsheetml/2006/main" count="186" uniqueCount="111">
  <si>
    <t>Date</t>
  </si>
  <si>
    <t>Category</t>
  </si>
  <si>
    <t>Description</t>
  </si>
  <si>
    <t>Income (₹)</t>
  </si>
  <si>
    <t>Expense (₹)</t>
  </si>
  <si>
    <t>Balance (₹)</t>
  </si>
  <si>
    <t>01-Apr-2024</t>
  </si>
  <si>
    <t>Salary</t>
  </si>
  <si>
    <t>Monthly Salary</t>
  </si>
  <si>
    <t>Rent</t>
  </si>
  <si>
    <t>House Rent</t>
  </si>
  <si>
    <t>02-Apr-2024</t>
  </si>
  <si>
    <t>Groceries</t>
  </si>
  <si>
    <t>Big Bazaar Shopping</t>
  </si>
  <si>
    <t>03-Apr-2024</t>
  </si>
  <si>
    <t>Transport</t>
  </si>
  <si>
    <t>Monthly Bus Pass</t>
  </si>
  <si>
    <t>04-Apr-2024</t>
  </si>
  <si>
    <t>Food</t>
  </si>
  <si>
    <t>Restaurant – friends</t>
  </si>
  <si>
    <t>05-Apr-2024</t>
  </si>
  <si>
    <t>Utilities</t>
  </si>
  <si>
    <t>Electricity Bill</t>
  </si>
  <si>
    <t>06-Apr-2024</t>
  </si>
  <si>
    <t>Mobile</t>
  </si>
  <si>
    <t>Mobile Recharge</t>
  </si>
  <si>
    <t>07-Apr-2024</t>
  </si>
  <si>
    <t>Daily Vegetables</t>
  </si>
  <si>
    <t>08-Apr-2024</t>
  </si>
  <si>
    <t>Entertainment</t>
  </si>
  <si>
    <t>Netflix Subscription</t>
  </si>
  <si>
    <t>09-Apr-2024</t>
  </si>
  <si>
    <t>Ola Cab</t>
  </si>
  <si>
    <t>10-Apr-2024</t>
  </si>
  <si>
    <t>Zomato Order</t>
  </si>
  <si>
    <t>11-Apr-2024</t>
  </si>
  <si>
    <t>Freelance</t>
  </si>
  <si>
    <t>Freelance Payment</t>
  </si>
  <si>
    <t>12-Apr-2024</t>
  </si>
  <si>
    <t>Supermarket</t>
  </si>
  <si>
    <t>13-Apr-2024</t>
  </si>
  <si>
    <t>Clothing</t>
  </si>
  <si>
    <t>New Shirt</t>
  </si>
  <si>
    <t>14-Apr-2024</t>
  </si>
  <si>
    <t>Healthcare</t>
  </si>
  <si>
    <t>Doctor Visit</t>
  </si>
  <si>
    <t>15-Apr-2024</t>
  </si>
  <si>
    <t>Internet Bill</t>
  </si>
  <si>
    <t>16-Apr-2024</t>
  </si>
  <si>
    <t>Coffee Shop</t>
  </si>
  <si>
    <t>17-Apr-2024</t>
  </si>
  <si>
    <t>Petrol</t>
  </si>
  <si>
    <t>18-Apr-2024</t>
  </si>
  <si>
    <t>Education</t>
  </si>
  <si>
    <t>Online Course</t>
  </si>
  <si>
    <t>19-Apr-2024</t>
  </si>
  <si>
    <t>Weekly Grocery</t>
  </si>
  <si>
    <t>20-Apr-2024</t>
  </si>
  <si>
    <t>Movie Ticket</t>
  </si>
  <si>
    <t>21-Apr-2024</t>
  </si>
  <si>
    <t>Savings</t>
  </si>
  <si>
    <t>RD Deposit</t>
  </si>
  <si>
    <t>22-Apr-2024</t>
  </si>
  <si>
    <t>Lunch at Office</t>
  </si>
  <si>
    <t>23-Apr-2024</t>
  </si>
  <si>
    <t>Design Project</t>
  </si>
  <si>
    <t>24-Apr-2024</t>
  </si>
  <si>
    <t>Shoes</t>
  </si>
  <si>
    <t>25-Apr-2024</t>
  </si>
  <si>
    <t>Metro Card Recharge</t>
  </si>
  <si>
    <t>26-Apr-2024</t>
  </si>
  <si>
    <t>Fruits &amp; Snacks</t>
  </si>
  <si>
    <t>27-Apr-2024</t>
  </si>
  <si>
    <t>Gas Cylinder</t>
  </si>
  <si>
    <t>28-Apr-2024</t>
  </si>
  <si>
    <t>Home Delivery</t>
  </si>
  <si>
    <t>29-Apr-2024</t>
  </si>
  <si>
    <t>Medicines</t>
  </si>
  <si>
    <t>30-Apr-2024</t>
  </si>
  <si>
    <t>Bonus Payment</t>
  </si>
  <si>
    <t>Amazon Prime</t>
  </si>
  <si>
    <t>Miscellaneous</t>
  </si>
  <si>
    <t>Stationery</t>
  </si>
  <si>
    <t>FD Top-up</t>
  </si>
  <si>
    <t>Month-end stock</t>
  </si>
  <si>
    <t>Auto Rickshaw</t>
  </si>
  <si>
    <t>Birthday Treat</t>
  </si>
  <si>
    <t>Maintenance Charges</t>
  </si>
  <si>
    <t>Gift for friend</t>
  </si>
  <si>
    <t>Content Writing</t>
  </si>
  <si>
    <t>Category-wise Expense Breakdown</t>
  </si>
  <si>
    <t>Income Sources</t>
  </si>
  <si>
    <t>Total Expense (₹)</t>
  </si>
  <si>
    <t>% of Total</t>
  </si>
  <si>
    <t>Source</t>
  </si>
  <si>
    <t>Total Income (₹)</t>
  </si>
  <si>
    <t>TOTAL INCOME</t>
  </si>
  <si>
    <t>TOTAL</t>
  </si>
  <si>
    <t>100%</t>
  </si>
  <si>
    <t>💰  Personal Finance Dashboard – April 2024</t>
  </si>
  <si>
    <t>Total Income</t>
  </si>
  <si>
    <t>Total Expense</t>
  </si>
  <si>
    <t>Net Savings</t>
  </si>
  <si>
    <t>Savings Rate</t>
  </si>
  <si>
    <t>Top Expense Categories</t>
  </si>
  <si>
    <t>% Share</t>
  </si>
  <si>
    <t>Bar</t>
  </si>
  <si>
    <t>📌  Tip: Edit data in the 'Transactions' sheet — all figures update automatically!</t>
  </si>
  <si>
    <t>Row Labels</t>
  </si>
  <si>
    <t>Grand Total</t>
  </si>
  <si>
    <t>Count of Expense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</si>
</sst>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yy"/>
    <numFmt numFmtId="165" formatCode="\₹#,##0"/>
    <numFmt numFmtId="166" formatCode="0.0\%"/>
  </numFmts>
  <fonts count="15" x14ac:knownFonts="1">
    <font>
      <sz val="11"/>
      <name val="Calibri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sz val="11"/>
      <name val="Calibri"/>
    </font>
    <font>
      <b/>
      <sz val="10"/>
      <color rgb="FFFFFFFF"/>
      <name val="Arial"/>
    </font>
    <font>
      <b/>
      <sz val="10"/>
      <name val="Arial"/>
    </font>
    <font>
      <b/>
      <sz val="18"/>
      <color rgb="FFFFFFFF"/>
      <name val="Arial"/>
    </font>
    <font>
      <sz val="11"/>
      <name val="Calibri"/>
    </font>
    <font>
      <b/>
      <sz val="16"/>
      <color rgb="FF1F4E79"/>
      <name val="Arial"/>
    </font>
    <font>
      <b/>
      <sz val="16"/>
      <color rgb="FF1E6B3C"/>
      <name val="Arial"/>
    </font>
    <font>
      <b/>
      <sz val="16"/>
      <color rgb="FF7B2D8B"/>
      <name val="Arial"/>
    </font>
    <font>
      <b/>
      <sz val="12"/>
      <color rgb="FFFFFFFF"/>
      <name val="Arial"/>
    </font>
    <font>
      <sz val="9"/>
      <color rgb="FF2E75B6"/>
      <name val="Arial"/>
    </font>
    <font>
      <i/>
      <sz val="10"/>
      <color rgb="FF59595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2E75B6"/>
        <bgColor rgb="FF2E75B6"/>
      </patternFill>
    </fill>
    <fill>
      <patternFill patternType="solid">
        <fgColor rgb="FF1E6B3C"/>
        <bgColor rgb="FF1E6B3C"/>
      </patternFill>
    </fill>
    <fill>
      <patternFill patternType="solid">
        <fgColor rgb="FF375623"/>
        <bgColor rgb="FF375623"/>
      </patternFill>
    </fill>
    <fill>
      <patternFill patternType="solid">
        <fgColor rgb="FFFFD966"/>
        <bgColor rgb="FFFFD966"/>
      </patternFill>
    </fill>
    <fill>
      <patternFill patternType="solid">
        <fgColor rgb="FFF2F9FF"/>
        <bgColor rgb="FFF2F9FF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/>
    <xf numFmtId="166" fontId="2" fillId="5" borderId="1" xfId="0" applyNumberFormat="1" applyFont="1" applyFill="1" applyBorder="1" applyAlignment="1"/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/>
    <xf numFmtId="166" fontId="2" fillId="4" borderId="1" xfId="0" applyNumberFormat="1" applyFont="1" applyFill="1" applyBorder="1" applyAlignment="1"/>
    <xf numFmtId="165" fontId="2" fillId="3" borderId="1" xfId="0" applyNumberFormat="1" applyFont="1" applyFill="1" applyBorder="1" applyAlignment="1"/>
    <xf numFmtId="0" fontId="6" fillId="10" borderId="1" xfId="0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65" fontId="0" fillId="0" borderId="0" xfId="0" applyNumberFormat="1" applyFont="1" applyAlignment="1"/>
    <xf numFmtId="0" fontId="3" fillId="7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8" borderId="2" xfId="0" applyFont="1" applyFill="1" applyBorder="1" applyAlignment="1">
      <alignment horizontal="center" vertical="center" wrapText="1"/>
    </xf>
    <xf numFmtId="0" fontId="8" fillId="0" borderId="11" xfId="0" applyFont="1" applyBorder="1" applyAlignment="1"/>
    <xf numFmtId="0" fontId="4" fillId="0" borderId="12" xfId="0" applyFont="1" applyBorder="1"/>
    <xf numFmtId="0" fontId="12" fillId="9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Font="1" applyAlignment="1"/>
    <xf numFmtId="0" fontId="7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/>
    <xf numFmtId="0" fontId="5" fillId="7" borderId="1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165" fontId="9" fillId="11" borderId="11" xfId="0" applyNumberFormat="1" applyFont="1" applyFill="1" applyBorder="1" applyAlignment="1">
      <alignment horizontal="center" vertical="center" wrapText="1"/>
    </xf>
    <xf numFmtId="165" fontId="10" fillId="11" borderId="11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Alignment="1"/>
    <xf numFmtId="0" fontId="0" fillId="0" borderId="0" xfId="0" applyFont="1" applyFill="1" applyAlignment="1"/>
    <xf numFmtId="0" fontId="0" fillId="1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[Personal_Finance_Tracker (Project 1).xlsx]Sheet1!PivotTable1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Sheet1!$A$4:$A$18</c:f>
              <c:strCache>
                <c:ptCount val="14"/>
                <c:pt idx="0">
                  <c:v>Clothing</c:v>
                </c:pt>
                <c:pt idx="1">
                  <c:v>Education</c:v>
                </c:pt>
                <c:pt idx="2">
                  <c:v>Entertainment</c:v>
                </c:pt>
                <c:pt idx="3">
                  <c:v>Food</c:v>
                </c:pt>
                <c:pt idx="4">
                  <c:v>Freelance</c:v>
                </c:pt>
                <c:pt idx="5">
                  <c:v>Groceries</c:v>
                </c:pt>
                <c:pt idx="6">
                  <c:v>Healthcare</c:v>
                </c:pt>
                <c:pt idx="7">
                  <c:v>Miscellaneous</c:v>
                </c:pt>
                <c:pt idx="8">
                  <c:v>Mobile</c:v>
                </c:pt>
                <c:pt idx="9">
                  <c:v>Rent</c:v>
                </c:pt>
                <c:pt idx="10">
                  <c:v>Salary</c:v>
                </c:pt>
                <c:pt idx="11">
                  <c:v>Savings</c:v>
                </c:pt>
                <c:pt idx="12">
                  <c:v>Transport</c:v>
                </c:pt>
                <c:pt idx="13">
                  <c:v>Utilities</c:v>
                </c:pt>
              </c:strCache>
            </c:strRef>
          </c:cat>
          <c:val>
            <c:numRef>
              <c:f>Sheet1!$B$4:$B$18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3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</c:f>
              <c:strCache>
                <c:ptCount val="1"/>
                <c:pt idx="0">
                  <c:v>Total Expense (₹)</c:v>
                </c:pt>
              </c:strCache>
            </c:strRef>
          </c:tx>
          <c:dPt>
            <c:idx val="0"/>
            <c:bubble3D val="0"/>
            <c:spPr>
              <a:solidFill>
                <a:srgbClr val="4672A8"/>
              </a:solidFill>
            </c:spPr>
          </c:dPt>
          <c:dPt>
            <c:idx val="1"/>
            <c:bubble3D val="0"/>
            <c:spPr>
              <a:solidFill>
                <a:srgbClr val="AB4744"/>
              </a:solidFill>
            </c:spPr>
          </c:dPt>
          <c:dPt>
            <c:idx val="2"/>
            <c:bubble3D val="0"/>
            <c:spPr>
              <a:solidFill>
                <a:srgbClr val="8AA64F"/>
              </a:solidFill>
            </c:spPr>
          </c:dPt>
          <c:dPt>
            <c:idx val="3"/>
            <c:bubble3D val="0"/>
            <c:spPr>
              <a:solidFill>
                <a:srgbClr val="725990"/>
              </a:solidFill>
            </c:spPr>
          </c:dPt>
          <c:dPt>
            <c:idx val="4"/>
            <c:bubble3D val="0"/>
            <c:spPr>
              <a:solidFill>
                <a:srgbClr val="4299B0"/>
              </a:solidFill>
            </c:spPr>
          </c:dPt>
          <c:dPt>
            <c:idx val="5"/>
            <c:bubble3D val="0"/>
            <c:spPr>
              <a:solidFill>
                <a:srgbClr val="DC853E"/>
              </a:solidFill>
            </c:spPr>
          </c:dPt>
          <c:dPt>
            <c:idx val="6"/>
            <c:bubble3D val="0"/>
            <c:spPr>
              <a:solidFill>
                <a:srgbClr val="93A9CE"/>
              </a:solidFill>
            </c:spPr>
          </c:dPt>
          <c:dPt>
            <c:idx val="7"/>
            <c:bubble3D val="0"/>
            <c:spPr>
              <a:solidFill>
                <a:srgbClr val="D09493"/>
              </a:solidFill>
            </c:spPr>
          </c:dPt>
          <c:dPt>
            <c:idx val="8"/>
            <c:bubble3D val="0"/>
            <c:spPr>
              <a:solidFill>
                <a:srgbClr val="B8CD97"/>
              </a:solidFill>
            </c:spPr>
          </c:dPt>
          <c:dPt>
            <c:idx val="9"/>
            <c:bubble3D val="0"/>
            <c:spPr>
              <a:solidFill>
                <a:srgbClr val="A99BBD"/>
              </a:solidFill>
            </c:spPr>
          </c:dPt>
          <c:dPt>
            <c:idx val="10"/>
            <c:bubble3D val="0"/>
            <c:spPr>
              <a:solidFill>
                <a:srgbClr val="92C3D5"/>
              </a:solidFill>
            </c:spPr>
          </c:dPt>
          <c:dPt>
            <c:idx val="11"/>
            <c:bubble3D val="0"/>
            <c:spPr>
              <a:solidFill>
                <a:srgbClr val="F8B590"/>
              </a:solidFill>
            </c:spPr>
          </c:dPt>
          <c:cat>
            <c:strRef>
              <c:f>Summary!$A$3:$A$14</c:f>
              <c:strCache>
                <c:ptCount val="12"/>
                <c:pt idx="0">
                  <c:v>Rent</c:v>
                </c:pt>
                <c:pt idx="1">
                  <c:v>Groceries</c:v>
                </c:pt>
                <c:pt idx="2">
                  <c:v>Food</c:v>
                </c:pt>
                <c:pt idx="3">
                  <c:v>Transport</c:v>
                </c:pt>
                <c:pt idx="4">
                  <c:v>Utilities</c:v>
                </c:pt>
                <c:pt idx="5">
                  <c:v>Entertainment</c:v>
                </c:pt>
                <c:pt idx="6">
                  <c:v>Clothing</c:v>
                </c:pt>
                <c:pt idx="7">
                  <c:v>Healthcare</c:v>
                </c:pt>
                <c:pt idx="8">
                  <c:v>Education</c:v>
                </c:pt>
                <c:pt idx="9">
                  <c:v>Savings</c:v>
                </c:pt>
                <c:pt idx="10">
                  <c:v>Mobile</c:v>
                </c:pt>
                <c:pt idx="11">
                  <c:v>Miscellaneous</c:v>
                </c:pt>
              </c:strCache>
            </c:strRef>
          </c:cat>
          <c:val>
            <c:numRef>
              <c:f>Summary!$B$3:$B$14</c:f>
              <c:numCache>
                <c:formatCode>\₹#,##0</c:formatCode>
                <c:ptCount val="12"/>
                <c:pt idx="0">
                  <c:v>13500</c:v>
                </c:pt>
                <c:pt idx="1">
                  <c:v>8200</c:v>
                </c:pt>
                <c:pt idx="2">
                  <c:v>2680</c:v>
                </c:pt>
                <c:pt idx="3">
                  <c:v>3300</c:v>
                </c:pt>
                <c:pt idx="4">
                  <c:v>2949</c:v>
                </c:pt>
                <c:pt idx="5">
                  <c:v>1148</c:v>
                </c:pt>
                <c:pt idx="6">
                  <c:v>2799</c:v>
                </c:pt>
                <c:pt idx="7">
                  <c:v>840</c:v>
                </c:pt>
                <c:pt idx="8">
                  <c:v>1499</c:v>
                </c:pt>
                <c:pt idx="9">
                  <c:v>8000</c:v>
                </c:pt>
                <c:pt idx="10">
                  <c:v>499</c:v>
                </c:pt>
                <c:pt idx="11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163830</xdr:rowOff>
    </xdr:from>
    <xdr:to>
      <xdr:col>23</xdr:col>
      <xdr:colOff>320040</xdr:colOff>
      <xdr:row>16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486400" cy="52863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67.84222835648" createdVersion="5" refreshedVersion="5" minRefreshableVersion="3" recordCount="40">
  <cacheSource type="worksheet">
    <worksheetSource ref="A1:F41" sheet="Transactions"/>
  </cacheSource>
  <cacheFields count="6">
    <cacheField name="Date" numFmtId="164">
      <sharedItems/>
    </cacheField>
    <cacheField name="Category" numFmtId="0">
      <sharedItems count="14">
        <s v="Salary"/>
        <s v="Rent"/>
        <s v="Groceries"/>
        <s v="Transport"/>
        <s v="Food"/>
        <s v="Utilities"/>
        <s v="Mobile"/>
        <s v="Entertainment"/>
        <s v="Freelance"/>
        <s v="Clothing"/>
        <s v="Healthcare"/>
        <s v="Education"/>
        <s v="Savings"/>
        <s v="Miscellaneous"/>
      </sharedItems>
    </cacheField>
    <cacheField name="Description" numFmtId="0">
      <sharedItems/>
    </cacheField>
    <cacheField name="Income (₹)" numFmtId="0">
      <sharedItems containsString="0" containsBlank="1" containsNumber="1" containsInteger="1" minValue="3000" maxValue="45000"/>
    </cacheField>
    <cacheField name="Expense (₹)" numFmtId="0">
      <sharedItems containsString="0" containsBlank="1" containsNumber="1" containsInteger="1" minValue="120" maxValue="12000"/>
    </cacheField>
    <cacheField name="Balance (₹)" numFmtId="165">
      <sharedItems containsSemiMixedTypes="0" containsString="0" containsNumber="1" containsInteger="1" minValue="14886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01-Apr-2024"/>
    <x v="0"/>
    <s v="Monthly Salary"/>
    <n v="45000"/>
    <m/>
    <n v="45000"/>
  </r>
  <r>
    <s v="01-Apr-2024"/>
    <x v="1"/>
    <s v="House Rent"/>
    <m/>
    <n v="12000"/>
    <n v="33000"/>
  </r>
  <r>
    <s v="02-Apr-2024"/>
    <x v="2"/>
    <s v="Big Bazaar Shopping"/>
    <m/>
    <n v="2800"/>
    <n v="30200"/>
  </r>
  <r>
    <s v="03-Apr-2024"/>
    <x v="3"/>
    <s v="Monthly Bus Pass"/>
    <m/>
    <n v="900"/>
    <n v="29300"/>
  </r>
  <r>
    <s v="04-Apr-2024"/>
    <x v="4"/>
    <s v="Restaurant – friends"/>
    <m/>
    <n v="650"/>
    <n v="28650"/>
  </r>
  <r>
    <s v="05-Apr-2024"/>
    <x v="5"/>
    <s v="Electricity Bill"/>
    <m/>
    <n v="1200"/>
    <n v="27450"/>
  </r>
  <r>
    <s v="06-Apr-2024"/>
    <x v="6"/>
    <s v="Mobile Recharge"/>
    <m/>
    <n v="499"/>
    <n v="26951"/>
  </r>
  <r>
    <s v="07-Apr-2024"/>
    <x v="2"/>
    <s v="Daily Vegetables"/>
    <m/>
    <n v="430"/>
    <n v="26521"/>
  </r>
  <r>
    <s v="08-Apr-2024"/>
    <x v="7"/>
    <s v="Netflix Subscription"/>
    <m/>
    <n v="499"/>
    <n v="26022"/>
  </r>
  <r>
    <s v="09-Apr-2024"/>
    <x v="3"/>
    <s v="Ola Cab"/>
    <m/>
    <n v="280"/>
    <n v="25742"/>
  </r>
  <r>
    <s v="10-Apr-2024"/>
    <x v="4"/>
    <s v="Zomato Order"/>
    <m/>
    <n v="380"/>
    <n v="25362"/>
  </r>
  <r>
    <s v="11-Apr-2024"/>
    <x v="8"/>
    <s v="Freelance Payment"/>
    <n v="8000"/>
    <m/>
    <n v="33362"/>
  </r>
  <r>
    <s v="12-Apr-2024"/>
    <x v="2"/>
    <s v="Supermarket"/>
    <m/>
    <n v="1100"/>
    <n v="32262"/>
  </r>
  <r>
    <s v="13-Apr-2024"/>
    <x v="9"/>
    <s v="New Shirt"/>
    <m/>
    <n v="999"/>
    <n v="31263"/>
  </r>
  <r>
    <s v="14-Apr-2024"/>
    <x v="10"/>
    <s v="Doctor Visit"/>
    <m/>
    <n v="500"/>
    <n v="30763"/>
  </r>
  <r>
    <s v="15-Apr-2024"/>
    <x v="5"/>
    <s v="Internet Bill"/>
    <m/>
    <n v="799"/>
    <n v="29964"/>
  </r>
  <r>
    <s v="16-Apr-2024"/>
    <x v="4"/>
    <s v="Coffee Shop"/>
    <m/>
    <n v="220"/>
    <n v="29744"/>
  </r>
  <r>
    <s v="17-Apr-2024"/>
    <x v="3"/>
    <s v="Petrol"/>
    <m/>
    <n v="1500"/>
    <n v="28244"/>
  </r>
  <r>
    <s v="18-Apr-2024"/>
    <x v="11"/>
    <s v="Online Course"/>
    <m/>
    <n v="1499"/>
    <n v="26745"/>
  </r>
  <r>
    <s v="19-Apr-2024"/>
    <x v="2"/>
    <s v="Weekly Grocery"/>
    <m/>
    <n v="1850"/>
    <n v="24895"/>
  </r>
  <r>
    <s v="20-Apr-2024"/>
    <x v="7"/>
    <s v="Movie Ticket"/>
    <m/>
    <n v="350"/>
    <n v="24545"/>
  </r>
  <r>
    <s v="21-Apr-2024"/>
    <x v="12"/>
    <s v="RD Deposit"/>
    <m/>
    <n v="5000"/>
    <n v="19545"/>
  </r>
  <r>
    <s v="22-Apr-2024"/>
    <x v="4"/>
    <s v="Lunch at Office"/>
    <m/>
    <n v="180"/>
    <n v="19365"/>
  </r>
  <r>
    <s v="23-Apr-2024"/>
    <x v="8"/>
    <s v="Design Project"/>
    <n v="5000"/>
    <m/>
    <n v="24365"/>
  </r>
  <r>
    <s v="24-Apr-2024"/>
    <x v="9"/>
    <s v="Shoes"/>
    <m/>
    <n v="1800"/>
    <n v="22565"/>
  </r>
  <r>
    <s v="25-Apr-2024"/>
    <x v="3"/>
    <s v="Metro Card Recharge"/>
    <m/>
    <n v="500"/>
    <n v="22065"/>
  </r>
  <r>
    <s v="26-Apr-2024"/>
    <x v="2"/>
    <s v="Fruits &amp; Snacks"/>
    <m/>
    <n v="620"/>
    <n v="21445"/>
  </r>
  <r>
    <s v="27-Apr-2024"/>
    <x v="5"/>
    <s v="Gas Cylinder"/>
    <m/>
    <n v="950"/>
    <n v="20495"/>
  </r>
  <r>
    <s v="28-Apr-2024"/>
    <x v="4"/>
    <s v="Home Delivery"/>
    <m/>
    <n v="450"/>
    <n v="20045"/>
  </r>
  <r>
    <s v="29-Apr-2024"/>
    <x v="10"/>
    <s v="Medicines"/>
    <m/>
    <n v="340"/>
    <n v="19705"/>
  </r>
  <r>
    <s v="30-Apr-2024"/>
    <x v="0"/>
    <s v="Bonus Payment"/>
    <n v="3000"/>
    <m/>
    <n v="22705"/>
  </r>
  <r>
    <s v="30-Apr-2024"/>
    <x v="7"/>
    <s v="Amazon Prime"/>
    <m/>
    <n v="299"/>
    <n v="22406"/>
  </r>
  <r>
    <s v="30-Apr-2024"/>
    <x v="13"/>
    <s v="Stationery"/>
    <m/>
    <n v="200"/>
    <n v="22206"/>
  </r>
  <r>
    <s v="30-Apr-2024"/>
    <x v="12"/>
    <s v="FD Top-up"/>
    <m/>
    <n v="3000"/>
    <n v="19206"/>
  </r>
  <r>
    <s v="30-Apr-2024"/>
    <x v="2"/>
    <s v="Month-end stock"/>
    <m/>
    <n v="1400"/>
    <n v="17806"/>
  </r>
  <r>
    <s v="30-Apr-2024"/>
    <x v="3"/>
    <s v="Auto Rickshaw"/>
    <m/>
    <n v="120"/>
    <n v="17686"/>
  </r>
  <r>
    <s v="30-Apr-2024"/>
    <x v="4"/>
    <s v="Birthday Treat"/>
    <m/>
    <n v="800"/>
    <n v="16886"/>
  </r>
  <r>
    <s v="30-Apr-2024"/>
    <x v="1"/>
    <s v="Maintenance Charges"/>
    <m/>
    <n v="1500"/>
    <n v="15386"/>
  </r>
  <r>
    <s v="30-Apr-2024"/>
    <x v="13"/>
    <s v="Gift for friend"/>
    <m/>
    <n v="500"/>
    <n v="14886"/>
  </r>
  <r>
    <s v="30-Apr-2024"/>
    <x v="8"/>
    <s v="Content Writing"/>
    <n v="4000"/>
    <m/>
    <n v="188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18" firstHeaderRow="1" firstDataRow="1" firstDataCol="1"/>
  <pivotFields count="6">
    <pivotField showAll="0"/>
    <pivotField axis="axisRow" showAll="0">
      <items count="15">
        <item x="9"/>
        <item x="11"/>
        <item x="7"/>
        <item x="4"/>
        <item x="8"/>
        <item x="2"/>
        <item x="10"/>
        <item x="13"/>
        <item x="6"/>
        <item x="1"/>
        <item x="0"/>
        <item x="12"/>
        <item x="3"/>
        <item x="5"/>
        <item t="default"/>
      </items>
    </pivotField>
    <pivotField showAll="0"/>
    <pivotField showAll="0"/>
    <pivotField dataField="1" showAll="0"/>
    <pivotField numFmtId="165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Expense (₹)" fld="4" subtotal="count" baseField="0" baseItem="0"/>
  </dataFields>
  <chartFormats count="15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zoomScale="85" zoomScaleNormal="85" workbookViewId="0">
      <pane ySplit="1" topLeftCell="A2" activePane="bottomLeft" state="frozen"/>
      <selection pane="bottomLeft" activeCell="I5" sqref="I5"/>
    </sheetView>
  </sheetViews>
  <sheetFormatPr defaultColWidth="14.44140625" defaultRowHeight="15" customHeight="1" x14ac:dyDescent="0.3"/>
  <cols>
    <col min="1" max="1" width="14" customWidth="1"/>
    <col min="2" max="2" width="16" customWidth="1"/>
    <col min="3" max="3" width="28" customWidth="1"/>
    <col min="4" max="6" width="14" customWidth="1"/>
    <col min="7" max="11" width="8.6640625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ht="18" customHeight="1" x14ac:dyDescent="0.3">
      <c r="A2" s="2" t="s">
        <v>6</v>
      </c>
      <c r="B2" s="3" t="s">
        <v>7</v>
      </c>
      <c r="C2" s="4" t="s">
        <v>8</v>
      </c>
      <c r="D2" s="5">
        <v>45000</v>
      </c>
      <c r="E2" s="6"/>
      <c r="F2" s="7">
        <f>IF(ROW()=2,D2-E2,F1+D2-E2)</f>
        <v>45000</v>
      </c>
    </row>
    <row r="3" spans="1:14" ht="18" customHeight="1" x14ac:dyDescent="0.3">
      <c r="A3" s="8" t="s">
        <v>6</v>
      </c>
      <c r="B3" s="9" t="s">
        <v>9</v>
      </c>
      <c r="C3" s="10" t="s">
        <v>10</v>
      </c>
      <c r="D3" s="11"/>
      <c r="E3" s="12">
        <v>12000</v>
      </c>
      <c r="F3" s="13">
        <f>IF(ROW()=2,D2-E2,F2+D3-E3)</f>
        <v>33000</v>
      </c>
      <c r="L3" s="53" t="s">
        <v>12</v>
      </c>
      <c r="M3" s="53">
        <f>SUMIF(B:B, "Groceries",E:E )</f>
        <v>8200</v>
      </c>
      <c r="N3" s="53">
        <f>SUMIF(Transactions!B:B,"Salary",D:D) + SUMIF(B:B,"Freelance",D:D)</f>
        <v>65000</v>
      </c>
    </row>
    <row r="4" spans="1:14" ht="18" customHeight="1" x14ac:dyDescent="0.3">
      <c r="A4" s="2" t="s">
        <v>11</v>
      </c>
      <c r="B4" s="3" t="s">
        <v>12</v>
      </c>
      <c r="C4" s="4" t="s">
        <v>13</v>
      </c>
      <c r="D4" s="6"/>
      <c r="E4" s="12">
        <v>2800</v>
      </c>
      <c r="F4" s="7">
        <f>IF(ROW()=2,D2-E2,F3+D4-E4)</f>
        <v>30200</v>
      </c>
      <c r="L4" s="53" t="s">
        <v>7</v>
      </c>
      <c r="M4" s="53">
        <f>SUMIF(B:B, "Salary",D:D )</f>
        <v>48000</v>
      </c>
      <c r="N4" s="53">
        <f>SUM(Transactions!E:E)</f>
        <v>46114</v>
      </c>
    </row>
    <row r="5" spans="1:14" ht="18" customHeight="1" x14ac:dyDescent="0.3">
      <c r="A5" s="8" t="s">
        <v>14</v>
      </c>
      <c r="B5" s="9" t="s">
        <v>15</v>
      </c>
      <c r="C5" s="10" t="s">
        <v>16</v>
      </c>
      <c r="D5" s="11"/>
      <c r="E5" s="12">
        <v>900</v>
      </c>
      <c r="F5" s="13">
        <f>IF(ROW()=2,D2-E2,F4+D5-E5)</f>
        <v>29300</v>
      </c>
      <c r="L5" s="53" t="s">
        <v>9</v>
      </c>
      <c r="M5" s="53">
        <f>SUMIF(B:B, "Rent",E:E )</f>
        <v>13500</v>
      </c>
      <c r="N5" s="53">
        <f>N3-N4</f>
        <v>18886</v>
      </c>
    </row>
    <row r="6" spans="1:14" ht="18" customHeight="1" x14ac:dyDescent="0.3">
      <c r="A6" s="2" t="s">
        <v>17</v>
      </c>
      <c r="B6" s="3" t="s">
        <v>18</v>
      </c>
      <c r="C6" s="4" t="s">
        <v>19</v>
      </c>
      <c r="D6" s="6"/>
      <c r="E6" s="12">
        <v>650</v>
      </c>
      <c r="F6" s="7">
        <f>IF(ROW()=2,D2-E2,F5+D6-E6)</f>
        <v>28650</v>
      </c>
      <c r="L6" s="53"/>
      <c r="M6" s="53"/>
      <c r="N6" s="53">
        <f>(N5/N3)*100</f>
        <v>29.055384615384618</v>
      </c>
    </row>
    <row r="7" spans="1:14" ht="18" customHeight="1" x14ac:dyDescent="0.3">
      <c r="A7" s="8" t="s">
        <v>20</v>
      </c>
      <c r="B7" s="9" t="s">
        <v>21</v>
      </c>
      <c r="C7" s="10" t="s">
        <v>22</v>
      </c>
      <c r="D7" s="11"/>
      <c r="E7" s="12">
        <v>1200</v>
      </c>
      <c r="F7" s="13">
        <f>IF(ROW()=2,D2-E2,F6+D7-E7)</f>
        <v>27450</v>
      </c>
    </row>
    <row r="8" spans="1:14" ht="18" customHeight="1" x14ac:dyDescent="0.3">
      <c r="A8" s="2" t="s">
        <v>23</v>
      </c>
      <c r="B8" s="3" t="s">
        <v>24</v>
      </c>
      <c r="C8" s="4" t="s">
        <v>25</v>
      </c>
      <c r="D8" s="6"/>
      <c r="E8" s="12">
        <v>499</v>
      </c>
      <c r="F8" s="7">
        <f>IF(ROW()=2,D2-E2,F7+D8-E8)</f>
        <v>26951</v>
      </c>
      <c r="L8" s="51"/>
      <c r="M8" s="51"/>
    </row>
    <row r="9" spans="1:14" ht="18" customHeight="1" x14ac:dyDescent="0.3">
      <c r="A9" s="8" t="s">
        <v>26</v>
      </c>
      <c r="B9" s="9" t="s">
        <v>12</v>
      </c>
      <c r="C9" s="10" t="s">
        <v>27</v>
      </c>
      <c r="D9" s="11"/>
      <c r="E9" s="12">
        <v>430</v>
      </c>
      <c r="F9" s="13">
        <f>IF(ROW()=2,D2-E2,F8+D9-E9)</f>
        <v>26521</v>
      </c>
      <c r="L9" s="51"/>
      <c r="M9" s="51"/>
    </row>
    <row r="10" spans="1:14" ht="18" customHeight="1" x14ac:dyDescent="0.3">
      <c r="A10" s="2" t="s">
        <v>28</v>
      </c>
      <c r="B10" s="3" t="s">
        <v>29</v>
      </c>
      <c r="C10" s="4" t="s">
        <v>30</v>
      </c>
      <c r="D10" s="6"/>
      <c r="E10" s="12">
        <v>499</v>
      </c>
      <c r="F10" s="7">
        <f>IF(ROW()=2,D2-E2,F9+D10-E10)</f>
        <v>26022</v>
      </c>
      <c r="L10" s="51"/>
      <c r="M10" s="51"/>
    </row>
    <row r="11" spans="1:14" ht="18" customHeight="1" x14ac:dyDescent="0.3">
      <c r="A11" s="8" t="s">
        <v>31</v>
      </c>
      <c r="B11" s="9" t="s">
        <v>15</v>
      </c>
      <c r="C11" s="10" t="s">
        <v>32</v>
      </c>
      <c r="D11" s="11"/>
      <c r="E11" s="12">
        <v>280</v>
      </c>
      <c r="F11" s="13">
        <f>IF(ROW()=2,D2-E2,F10+D11-E11)</f>
        <v>25742</v>
      </c>
      <c r="L11" s="51"/>
      <c r="M11" s="51"/>
    </row>
    <row r="12" spans="1:14" ht="18" customHeight="1" x14ac:dyDescent="0.3">
      <c r="A12" s="2" t="s">
        <v>33</v>
      </c>
      <c r="B12" s="3" t="s">
        <v>18</v>
      </c>
      <c r="C12" s="4" t="s">
        <v>34</v>
      </c>
      <c r="D12" s="6"/>
      <c r="E12" s="12">
        <v>380</v>
      </c>
      <c r="F12" s="7">
        <f>IF(ROW()=2,D2-E2,F11+D12-E12)</f>
        <v>25362</v>
      </c>
      <c r="L12" s="51"/>
      <c r="M12" s="51"/>
    </row>
    <row r="13" spans="1:14" ht="18" customHeight="1" x14ac:dyDescent="0.3">
      <c r="A13" s="8" t="s">
        <v>35</v>
      </c>
      <c r="B13" s="9" t="s">
        <v>36</v>
      </c>
      <c r="C13" s="10" t="s">
        <v>37</v>
      </c>
      <c r="D13" s="5">
        <v>8000</v>
      </c>
      <c r="E13" s="11"/>
      <c r="F13" s="13">
        <f>IF(ROW()=2,D2-E2,F12+D13-E13)</f>
        <v>33362</v>
      </c>
      <c r="L13" s="51"/>
      <c r="M13" s="51"/>
    </row>
    <row r="14" spans="1:14" ht="18" customHeight="1" x14ac:dyDescent="0.3">
      <c r="A14" s="2" t="s">
        <v>38</v>
      </c>
      <c r="B14" s="3" t="s">
        <v>12</v>
      </c>
      <c r="C14" s="4" t="s">
        <v>39</v>
      </c>
      <c r="D14" s="6"/>
      <c r="E14" s="12">
        <v>1100</v>
      </c>
      <c r="F14" s="7">
        <f>IF(ROW()=2,D2-E2,F13+D14-E14)</f>
        <v>32262</v>
      </c>
      <c r="L14" s="51"/>
      <c r="M14" s="51"/>
    </row>
    <row r="15" spans="1:14" ht="18" customHeight="1" x14ac:dyDescent="0.3">
      <c r="A15" s="8" t="s">
        <v>40</v>
      </c>
      <c r="B15" s="9" t="s">
        <v>41</v>
      </c>
      <c r="C15" s="10" t="s">
        <v>42</v>
      </c>
      <c r="D15" s="11"/>
      <c r="E15" s="12">
        <v>999</v>
      </c>
      <c r="F15" s="13">
        <f>IF(ROW()=2,D2-E2,F14+D15-E15)</f>
        <v>31263</v>
      </c>
      <c r="L15" s="51"/>
      <c r="M15" s="51"/>
    </row>
    <row r="16" spans="1:14" ht="18" customHeight="1" x14ac:dyDescent="0.3">
      <c r="A16" s="2" t="s">
        <v>43</v>
      </c>
      <c r="B16" s="3" t="s">
        <v>44</v>
      </c>
      <c r="C16" s="4" t="s">
        <v>45</v>
      </c>
      <c r="D16" s="6"/>
      <c r="E16" s="12">
        <v>500</v>
      </c>
      <c r="F16" s="7">
        <f>IF(ROW()=2,D2-E2,F15+D16-E16)</f>
        <v>30763</v>
      </c>
      <c r="L16" s="51"/>
      <c r="M16" s="51"/>
    </row>
    <row r="17" spans="1:13" ht="18" customHeight="1" x14ac:dyDescent="0.3">
      <c r="A17" s="8" t="s">
        <v>46</v>
      </c>
      <c r="B17" s="9" t="s">
        <v>21</v>
      </c>
      <c r="C17" s="10" t="s">
        <v>47</v>
      </c>
      <c r="D17" s="11"/>
      <c r="E17" s="12">
        <v>799</v>
      </c>
      <c r="F17" s="13">
        <f>IF(ROW()=2,D2-E2,F16+D17-E17)</f>
        <v>29964</v>
      </c>
      <c r="L17" s="51"/>
      <c r="M17" s="51"/>
    </row>
    <row r="18" spans="1:13" ht="18" customHeight="1" x14ac:dyDescent="0.3">
      <c r="A18" s="2" t="s">
        <v>48</v>
      </c>
      <c r="B18" s="3" t="s">
        <v>18</v>
      </c>
      <c r="C18" s="4" t="s">
        <v>49</v>
      </c>
      <c r="D18" s="6"/>
      <c r="E18" s="12">
        <v>220</v>
      </c>
      <c r="F18" s="7">
        <f>IF(ROW()=2,D2-E2,F17+D18-E18)</f>
        <v>29744</v>
      </c>
      <c r="L18" s="51"/>
      <c r="M18" s="51"/>
    </row>
    <row r="19" spans="1:13" ht="18" customHeight="1" x14ac:dyDescent="0.3">
      <c r="A19" s="8" t="s">
        <v>50</v>
      </c>
      <c r="B19" s="9" t="s">
        <v>15</v>
      </c>
      <c r="C19" s="10" t="s">
        <v>51</v>
      </c>
      <c r="D19" s="11"/>
      <c r="E19" s="12">
        <v>1500</v>
      </c>
      <c r="F19" s="13">
        <f>IF(ROW()=2,D2-E2,F18+D19-E19)</f>
        <v>28244</v>
      </c>
      <c r="L19" s="51"/>
      <c r="M19" s="51"/>
    </row>
    <row r="20" spans="1:13" ht="18" customHeight="1" x14ac:dyDescent="0.3">
      <c r="A20" s="2" t="s">
        <v>52</v>
      </c>
      <c r="B20" s="3" t="s">
        <v>53</v>
      </c>
      <c r="C20" s="4" t="s">
        <v>54</v>
      </c>
      <c r="D20" s="6"/>
      <c r="E20" s="12">
        <v>1499</v>
      </c>
      <c r="F20" s="7">
        <f>IF(ROW()=2,D2-E2,F19+D20-E20)</f>
        <v>26745</v>
      </c>
      <c r="L20" s="51"/>
      <c r="M20" s="51"/>
    </row>
    <row r="21" spans="1:13" ht="18" customHeight="1" x14ac:dyDescent="0.3">
      <c r="A21" s="8" t="s">
        <v>55</v>
      </c>
      <c r="B21" s="9" t="s">
        <v>12</v>
      </c>
      <c r="C21" s="10" t="s">
        <v>56</v>
      </c>
      <c r="D21" s="11"/>
      <c r="E21" s="12">
        <v>1850</v>
      </c>
      <c r="F21" s="13">
        <f>IF(ROW()=2,D2-E2,F20+D21-E21)</f>
        <v>24895</v>
      </c>
      <c r="L21" s="51"/>
      <c r="M21" s="51"/>
    </row>
    <row r="22" spans="1:13" ht="18" customHeight="1" x14ac:dyDescent="0.3">
      <c r="A22" s="2" t="s">
        <v>57</v>
      </c>
      <c r="B22" s="3" t="s">
        <v>29</v>
      </c>
      <c r="C22" s="4" t="s">
        <v>58</v>
      </c>
      <c r="D22" s="6"/>
      <c r="E22" s="12">
        <v>350</v>
      </c>
      <c r="F22" s="7">
        <f>IF(ROW()=2,D2-E2,F21+D22-E22)</f>
        <v>24545</v>
      </c>
      <c r="L22" s="51"/>
      <c r="M22" s="51"/>
    </row>
    <row r="23" spans="1:13" ht="18" customHeight="1" x14ac:dyDescent="0.3">
      <c r="A23" s="8" t="s">
        <v>59</v>
      </c>
      <c r="B23" s="9" t="s">
        <v>60</v>
      </c>
      <c r="C23" s="10" t="s">
        <v>61</v>
      </c>
      <c r="D23" s="11"/>
      <c r="E23" s="12">
        <v>5000</v>
      </c>
      <c r="F23" s="13">
        <f>IF(ROW()=2,D2-E2,F22+D23-E23)</f>
        <v>19545</v>
      </c>
      <c r="L23" s="51"/>
      <c r="M23" s="51"/>
    </row>
    <row r="24" spans="1:13" ht="18" customHeight="1" x14ac:dyDescent="0.3">
      <c r="A24" s="2" t="s">
        <v>62</v>
      </c>
      <c r="B24" s="3" t="s">
        <v>18</v>
      </c>
      <c r="C24" s="4" t="s">
        <v>63</v>
      </c>
      <c r="D24" s="6"/>
      <c r="E24" s="12">
        <v>180</v>
      </c>
      <c r="F24" s="7">
        <f>IF(ROW()=2,D2-E2,F23+D24-E24)</f>
        <v>19365</v>
      </c>
      <c r="L24" s="51"/>
      <c r="M24" s="51"/>
    </row>
    <row r="25" spans="1:13" ht="18" customHeight="1" x14ac:dyDescent="0.3">
      <c r="A25" s="8" t="s">
        <v>64</v>
      </c>
      <c r="B25" s="9" t="s">
        <v>36</v>
      </c>
      <c r="C25" s="10" t="s">
        <v>65</v>
      </c>
      <c r="D25" s="5">
        <v>5000</v>
      </c>
      <c r="E25" s="11"/>
      <c r="F25" s="13">
        <f>IF(ROW()=2,D2-E2,F24+D25-E25)</f>
        <v>24365</v>
      </c>
      <c r="L25" s="51"/>
      <c r="M25" s="51"/>
    </row>
    <row r="26" spans="1:13" ht="18" customHeight="1" x14ac:dyDescent="0.3">
      <c r="A26" s="2" t="s">
        <v>66</v>
      </c>
      <c r="B26" s="3" t="s">
        <v>41</v>
      </c>
      <c r="C26" s="4" t="s">
        <v>67</v>
      </c>
      <c r="D26" s="6"/>
      <c r="E26" s="12">
        <v>1800</v>
      </c>
      <c r="F26" s="7">
        <f>IF(ROW()=2,D2-E2,F25+D26-E26)</f>
        <v>22565</v>
      </c>
      <c r="L26" s="52"/>
      <c r="M26" s="51"/>
    </row>
    <row r="27" spans="1:13" ht="18" customHeight="1" x14ac:dyDescent="0.3">
      <c r="A27" s="8" t="s">
        <v>68</v>
      </c>
      <c r="B27" s="9" t="s">
        <v>15</v>
      </c>
      <c r="C27" s="10" t="s">
        <v>69</v>
      </c>
      <c r="D27" s="11"/>
      <c r="E27" s="12">
        <v>500</v>
      </c>
      <c r="F27" s="13">
        <f>IF(ROW()=2,D2-E2,F26+D27-E27)</f>
        <v>22065</v>
      </c>
      <c r="L27" s="52"/>
      <c r="M27" s="51"/>
    </row>
    <row r="28" spans="1:13" ht="18" customHeight="1" x14ac:dyDescent="0.3">
      <c r="A28" s="2" t="s">
        <v>70</v>
      </c>
      <c r="B28" s="3" t="s">
        <v>12</v>
      </c>
      <c r="C28" s="4" t="s">
        <v>71</v>
      </c>
      <c r="D28" s="6"/>
      <c r="E28" s="12">
        <v>620</v>
      </c>
      <c r="F28" s="7">
        <f>IF(ROW()=2,D2-E2,F27+D28-E28)</f>
        <v>21445</v>
      </c>
      <c r="L28" s="52"/>
      <c r="M28" s="51"/>
    </row>
    <row r="29" spans="1:13" ht="18" customHeight="1" x14ac:dyDescent="0.3">
      <c r="A29" s="8" t="s">
        <v>72</v>
      </c>
      <c r="B29" s="9" t="s">
        <v>21</v>
      </c>
      <c r="C29" s="10" t="s">
        <v>73</v>
      </c>
      <c r="D29" s="11"/>
      <c r="E29" s="12">
        <v>950</v>
      </c>
      <c r="F29" s="13">
        <f>IF(ROW()=2,D2-E2,F28+D29-E29)</f>
        <v>20495</v>
      </c>
      <c r="L29" s="52"/>
      <c r="M29" s="51"/>
    </row>
    <row r="30" spans="1:13" ht="18" customHeight="1" x14ac:dyDescent="0.3">
      <c r="A30" s="2" t="s">
        <v>74</v>
      </c>
      <c r="B30" s="3" t="s">
        <v>18</v>
      </c>
      <c r="C30" s="4" t="s">
        <v>75</v>
      </c>
      <c r="D30" s="6"/>
      <c r="E30" s="12">
        <v>450</v>
      </c>
      <c r="F30" s="7">
        <f>IF(ROW()=2,D2-E2,F29+D30-E30)</f>
        <v>20045</v>
      </c>
      <c r="L30" s="52"/>
      <c r="M30" s="51"/>
    </row>
    <row r="31" spans="1:13" ht="18" customHeight="1" x14ac:dyDescent="0.3">
      <c r="A31" s="8" t="s">
        <v>76</v>
      </c>
      <c r="B31" s="9" t="s">
        <v>44</v>
      </c>
      <c r="C31" s="10" t="s">
        <v>77</v>
      </c>
      <c r="D31" s="11"/>
      <c r="E31" s="12">
        <v>340</v>
      </c>
      <c r="F31" s="13">
        <f>IF(ROW()=2,D2-E2,F30+D31-E31)</f>
        <v>19705</v>
      </c>
      <c r="L31" s="52"/>
      <c r="M31" s="51"/>
    </row>
    <row r="32" spans="1:13" ht="18" customHeight="1" x14ac:dyDescent="0.3">
      <c r="A32" s="2" t="s">
        <v>78</v>
      </c>
      <c r="B32" s="3" t="s">
        <v>7</v>
      </c>
      <c r="C32" s="4" t="s">
        <v>79</v>
      </c>
      <c r="D32" s="5">
        <v>3000</v>
      </c>
      <c r="E32" s="6"/>
      <c r="F32" s="7">
        <f>IF(ROW()=2,D2-E2,F31+D32-E32)</f>
        <v>22705</v>
      </c>
      <c r="L32" s="52"/>
      <c r="M32" s="51"/>
    </row>
    <row r="33" spans="1:13" ht="18" customHeight="1" x14ac:dyDescent="0.3">
      <c r="A33" s="8" t="s">
        <v>78</v>
      </c>
      <c r="B33" s="9" t="s">
        <v>29</v>
      </c>
      <c r="C33" s="10" t="s">
        <v>80</v>
      </c>
      <c r="D33" s="11"/>
      <c r="E33" s="12">
        <v>299</v>
      </c>
      <c r="F33" s="13">
        <f>IF(ROW()=2,D2-E2,F32+D33-E33)</f>
        <v>22406</v>
      </c>
      <c r="L33" s="52"/>
      <c r="M33" s="51"/>
    </row>
    <row r="34" spans="1:13" ht="18" customHeight="1" x14ac:dyDescent="0.3">
      <c r="A34" s="2" t="s">
        <v>78</v>
      </c>
      <c r="B34" s="3" t="s">
        <v>81</v>
      </c>
      <c r="C34" s="4" t="s">
        <v>82</v>
      </c>
      <c r="D34" s="6"/>
      <c r="E34" s="12">
        <v>200</v>
      </c>
      <c r="F34" s="7">
        <f>IF(ROW()=2,D2-E2,F33+D34-E34)</f>
        <v>22206</v>
      </c>
      <c r="L34" s="52"/>
      <c r="M34" s="51"/>
    </row>
    <row r="35" spans="1:13" ht="18" customHeight="1" x14ac:dyDescent="0.3">
      <c r="A35" s="8" t="s">
        <v>78</v>
      </c>
      <c r="B35" s="9" t="s">
        <v>60</v>
      </c>
      <c r="C35" s="10" t="s">
        <v>83</v>
      </c>
      <c r="D35" s="11"/>
      <c r="E35" s="12">
        <v>3000</v>
      </c>
      <c r="F35" s="13">
        <f>IF(ROW()=2,D2-E2,F34+D35-E35)</f>
        <v>19206</v>
      </c>
      <c r="L35" s="52"/>
      <c r="M35" s="51"/>
    </row>
    <row r="36" spans="1:13" ht="18" customHeight="1" x14ac:dyDescent="0.3">
      <c r="A36" s="2" t="s">
        <v>78</v>
      </c>
      <c r="B36" s="3" t="s">
        <v>12</v>
      </c>
      <c r="C36" s="4" t="s">
        <v>84</v>
      </c>
      <c r="D36" s="6"/>
      <c r="E36" s="12">
        <v>1400</v>
      </c>
      <c r="F36" s="7">
        <f>IF(ROW()=2,D2-E2,F35+D36-E36)</f>
        <v>17806</v>
      </c>
      <c r="L36" s="52"/>
      <c r="M36" s="51"/>
    </row>
    <row r="37" spans="1:13" ht="18" customHeight="1" x14ac:dyDescent="0.3">
      <c r="A37" s="8" t="s">
        <v>78</v>
      </c>
      <c r="B37" s="9" t="s">
        <v>15</v>
      </c>
      <c r="C37" s="10" t="s">
        <v>85</v>
      </c>
      <c r="D37" s="11"/>
      <c r="E37" s="12">
        <v>120</v>
      </c>
      <c r="F37" s="13">
        <f>IF(ROW()=2,D2-E2,F36+D37-E37)</f>
        <v>17686</v>
      </c>
      <c r="L37" s="52"/>
      <c r="M37" s="51"/>
    </row>
    <row r="38" spans="1:13" ht="18" customHeight="1" x14ac:dyDescent="0.3">
      <c r="A38" s="2" t="s">
        <v>78</v>
      </c>
      <c r="B38" s="3" t="s">
        <v>18</v>
      </c>
      <c r="C38" s="4" t="s">
        <v>86</v>
      </c>
      <c r="D38" s="6"/>
      <c r="E38" s="12">
        <v>800</v>
      </c>
      <c r="F38" s="7">
        <f>IF(ROW()=2,D2-E2,F37+D38-E38)</f>
        <v>16886</v>
      </c>
      <c r="L38" s="52"/>
      <c r="M38" s="51"/>
    </row>
    <row r="39" spans="1:13" ht="18" customHeight="1" x14ac:dyDescent="0.3">
      <c r="A39" s="8" t="s">
        <v>78</v>
      </c>
      <c r="B39" s="9" t="s">
        <v>9</v>
      </c>
      <c r="C39" s="10" t="s">
        <v>87</v>
      </c>
      <c r="D39" s="11"/>
      <c r="E39" s="12">
        <v>1500</v>
      </c>
      <c r="F39" s="13">
        <f>IF(ROW()=2,D2-E2,F38+D39-E39)</f>
        <v>15386</v>
      </c>
      <c r="L39" s="52"/>
      <c r="M39" s="51"/>
    </row>
    <row r="40" spans="1:13" ht="18" customHeight="1" x14ac:dyDescent="0.3">
      <c r="A40" s="2" t="s">
        <v>78</v>
      </c>
      <c r="B40" s="3" t="s">
        <v>81</v>
      </c>
      <c r="C40" s="4" t="s">
        <v>88</v>
      </c>
      <c r="D40" s="6"/>
      <c r="E40" s="12">
        <v>500</v>
      </c>
      <c r="F40" s="7">
        <f>IF(ROW()=2,D2-E2,F39+D40-E40)</f>
        <v>14886</v>
      </c>
      <c r="L40" s="52"/>
      <c r="M40" s="51"/>
    </row>
    <row r="41" spans="1:13" ht="18" customHeight="1" x14ac:dyDescent="0.3">
      <c r="A41" s="8" t="s">
        <v>78</v>
      </c>
      <c r="B41" s="9" t="s">
        <v>36</v>
      </c>
      <c r="C41" s="10" t="s">
        <v>89</v>
      </c>
      <c r="D41" s="5">
        <v>4000</v>
      </c>
      <c r="E41" s="11"/>
      <c r="F41" s="13">
        <f>IF(ROW()=2,D2-E2,F40+D41-E41)</f>
        <v>18886</v>
      </c>
      <c r="L41" s="52"/>
      <c r="M41" s="51"/>
    </row>
    <row r="42" spans="1:13" ht="15.75" customHeight="1" x14ac:dyDescent="0.3">
      <c r="L42" s="52"/>
      <c r="M42" s="51"/>
    </row>
    <row r="43" spans="1:13" ht="15.75" customHeight="1" x14ac:dyDescent="0.3">
      <c r="L43" s="52"/>
      <c r="M43" s="51"/>
    </row>
    <row r="44" spans="1:13" ht="15.75" customHeight="1" x14ac:dyDescent="0.3">
      <c r="L44" s="52"/>
      <c r="M44" s="51"/>
    </row>
    <row r="45" spans="1:13" ht="15.75" customHeight="1" x14ac:dyDescent="0.3">
      <c r="L45" s="52"/>
      <c r="M45" s="51"/>
    </row>
    <row r="46" spans="1:13" ht="15.75" customHeight="1" x14ac:dyDescent="0.3">
      <c r="L46" s="52"/>
      <c r="M46" s="51"/>
    </row>
    <row r="47" spans="1:13" ht="15.75" customHeight="1" x14ac:dyDescent="0.3">
      <c r="L47" s="52"/>
      <c r="M47" s="51"/>
    </row>
    <row r="48" spans="1:13" ht="15.75" customHeight="1" x14ac:dyDescent="0.3">
      <c r="L48" s="52"/>
      <c r="M48" s="51"/>
    </row>
    <row r="49" spans="12:13" ht="15.75" customHeight="1" x14ac:dyDescent="0.3">
      <c r="L49" s="52"/>
      <c r="M49" s="51"/>
    </row>
    <row r="50" spans="12:13" ht="15.75" customHeight="1" x14ac:dyDescent="0.3">
      <c r="M50" s="30"/>
    </row>
    <row r="51" spans="12:13" ht="15.75" customHeight="1" x14ac:dyDescent="0.3">
      <c r="M51" s="30"/>
    </row>
    <row r="52" spans="12:13" ht="15.75" customHeight="1" x14ac:dyDescent="0.3">
      <c r="M52" s="30"/>
    </row>
    <row r="53" spans="12:13" ht="15.75" customHeight="1" x14ac:dyDescent="0.3">
      <c r="M53" s="30"/>
    </row>
    <row r="54" spans="12:13" ht="15.75" customHeight="1" x14ac:dyDescent="0.3">
      <c r="M54" s="30"/>
    </row>
    <row r="55" spans="12:13" ht="15.75" customHeight="1" x14ac:dyDescent="0.3"/>
    <row r="56" spans="12:13" ht="15.75" customHeight="1" x14ac:dyDescent="0.3"/>
    <row r="57" spans="12:13" ht="15.75" customHeight="1" x14ac:dyDescent="0.3"/>
    <row r="58" spans="12:13" ht="15.75" customHeight="1" x14ac:dyDescent="0.3"/>
    <row r="59" spans="12:13" ht="15.75" customHeight="1" x14ac:dyDescent="0.3"/>
    <row r="60" spans="12:13" ht="15.75" customHeight="1" x14ac:dyDescent="0.3"/>
    <row r="61" spans="12:13" ht="15.75" customHeight="1" x14ac:dyDescent="0.3"/>
    <row r="62" spans="12:13" ht="15.75" customHeight="1" x14ac:dyDescent="0.3"/>
    <row r="63" spans="12:13" ht="15.75" customHeight="1" x14ac:dyDescent="0.3"/>
    <row r="64" spans="12:1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workbookViewId="0">
      <selection activeCell="B5" sqref="B5"/>
    </sheetView>
  </sheetViews>
  <sheetFormatPr defaultRowHeight="14.4" x14ac:dyDescent="0.3"/>
  <cols>
    <col min="1" max="1" width="12.6640625" customWidth="1"/>
    <col min="2" max="2" width="18.6640625" customWidth="1"/>
    <col min="3" max="21" width="4" customWidth="1"/>
    <col min="22" max="31" width="5" customWidth="1"/>
    <col min="32" max="32" width="6" customWidth="1"/>
    <col min="33" max="33" width="7" customWidth="1"/>
    <col min="34" max="34" width="10.77734375" bestFit="1" customWidth="1"/>
  </cols>
  <sheetData>
    <row r="3" spans="1:2" x14ac:dyDescent="0.3">
      <c r="A3" s="27" t="s">
        <v>108</v>
      </c>
      <c r="B3" t="s">
        <v>110</v>
      </c>
    </row>
    <row r="4" spans="1:2" x14ac:dyDescent="0.3">
      <c r="A4" s="28" t="s">
        <v>41</v>
      </c>
      <c r="B4" s="29">
        <v>2</v>
      </c>
    </row>
    <row r="5" spans="1:2" x14ac:dyDescent="0.3">
      <c r="A5" s="28" t="s">
        <v>53</v>
      </c>
      <c r="B5" s="29">
        <v>1</v>
      </c>
    </row>
    <row r="6" spans="1:2" x14ac:dyDescent="0.3">
      <c r="A6" s="28" t="s">
        <v>29</v>
      </c>
      <c r="B6" s="29">
        <v>3</v>
      </c>
    </row>
    <row r="7" spans="1:2" x14ac:dyDescent="0.3">
      <c r="A7" s="28" t="s">
        <v>18</v>
      </c>
      <c r="B7" s="29">
        <v>6</v>
      </c>
    </row>
    <row r="8" spans="1:2" x14ac:dyDescent="0.3">
      <c r="A8" s="28" t="s">
        <v>36</v>
      </c>
      <c r="B8" s="29"/>
    </row>
    <row r="9" spans="1:2" x14ac:dyDescent="0.3">
      <c r="A9" s="28" t="s">
        <v>12</v>
      </c>
      <c r="B9" s="29">
        <v>6</v>
      </c>
    </row>
    <row r="10" spans="1:2" x14ac:dyDescent="0.3">
      <c r="A10" s="28" t="s">
        <v>44</v>
      </c>
      <c r="B10" s="29">
        <v>2</v>
      </c>
    </row>
    <row r="11" spans="1:2" x14ac:dyDescent="0.3">
      <c r="A11" s="28" t="s">
        <v>81</v>
      </c>
      <c r="B11" s="29">
        <v>2</v>
      </c>
    </row>
    <row r="12" spans="1:2" x14ac:dyDescent="0.3">
      <c r="A12" s="28" t="s">
        <v>24</v>
      </c>
      <c r="B12" s="29">
        <v>1</v>
      </c>
    </row>
    <row r="13" spans="1:2" x14ac:dyDescent="0.3">
      <c r="A13" s="28" t="s">
        <v>9</v>
      </c>
      <c r="B13" s="29">
        <v>2</v>
      </c>
    </row>
    <row r="14" spans="1:2" x14ac:dyDescent="0.3">
      <c r="A14" s="28" t="s">
        <v>7</v>
      </c>
      <c r="B14" s="29"/>
    </row>
    <row r="15" spans="1:2" x14ac:dyDescent="0.3">
      <c r="A15" s="28" t="s">
        <v>60</v>
      </c>
      <c r="B15" s="29">
        <v>2</v>
      </c>
    </row>
    <row r="16" spans="1:2" x14ac:dyDescent="0.3">
      <c r="A16" s="28" t="s">
        <v>15</v>
      </c>
      <c r="B16" s="29">
        <v>5</v>
      </c>
    </row>
    <row r="17" spans="1:2" x14ac:dyDescent="0.3">
      <c r="A17" s="28" t="s">
        <v>21</v>
      </c>
      <c r="B17" s="29">
        <v>3</v>
      </c>
    </row>
    <row r="18" spans="1:2" x14ac:dyDescent="0.3">
      <c r="A18" s="28" t="s">
        <v>109</v>
      </c>
      <c r="B18" s="29">
        <v>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opLeftCell="A16" workbookViewId="0">
      <selection activeCell="H30" sqref="H30"/>
    </sheetView>
  </sheetViews>
  <sheetFormatPr defaultColWidth="14.44140625" defaultRowHeight="15" customHeight="1" x14ac:dyDescent="0.3"/>
  <cols>
    <col min="1" max="2" width="18" customWidth="1"/>
    <col min="3" max="3" width="12" customWidth="1"/>
    <col min="4" max="4" width="4" customWidth="1"/>
    <col min="5" max="6" width="18" customWidth="1"/>
    <col min="7" max="11" width="8.6640625" customWidth="1"/>
  </cols>
  <sheetData>
    <row r="1" spans="1:6" ht="27.75" customHeight="1" x14ac:dyDescent="0.3">
      <c r="A1" s="31" t="s">
        <v>90</v>
      </c>
      <c r="B1" s="32"/>
      <c r="C1" s="33"/>
      <c r="E1" s="34" t="s">
        <v>91</v>
      </c>
      <c r="F1" s="33"/>
    </row>
    <row r="2" spans="1:6" ht="21.75" customHeight="1" x14ac:dyDescent="0.3">
      <c r="A2" s="14" t="s">
        <v>1</v>
      </c>
      <c r="B2" s="14" t="s">
        <v>92</v>
      </c>
      <c r="C2" s="14" t="s">
        <v>93</v>
      </c>
      <c r="E2" s="14" t="s">
        <v>94</v>
      </c>
      <c r="F2" s="14" t="s">
        <v>95</v>
      </c>
    </row>
    <row r="3" spans="1:6" ht="18" customHeight="1" x14ac:dyDescent="0.3">
      <c r="A3" s="10" t="s">
        <v>9</v>
      </c>
      <c r="B3" s="15">
        <f>SUMIF(Transactions!B:B,"Rent",Transactions!E:E)</f>
        <v>13500</v>
      </c>
      <c r="C3" s="16">
        <f t="shared" ref="C3:C14" si="0">IF(B3=0,"",B3/SUM($B$3:$B$14)*100)</f>
        <v>29.275274320163074</v>
      </c>
      <c r="E3" s="10" t="s">
        <v>7</v>
      </c>
      <c r="F3" s="15">
        <f>SUMIF(Transactions!B:B,"Salary",Transactions!D:D)</f>
        <v>48000</v>
      </c>
    </row>
    <row r="4" spans="1:6" ht="18" customHeight="1" x14ac:dyDescent="0.3">
      <c r="A4" s="17" t="s">
        <v>12</v>
      </c>
      <c r="B4" s="18">
        <f>SUMIF(Transactions!B:B,"Groceries",Transactions!E:E)</f>
        <v>8200</v>
      </c>
      <c r="C4" s="19">
        <f t="shared" si="0"/>
        <v>17.782018475950903</v>
      </c>
      <c r="E4" s="4" t="s">
        <v>36</v>
      </c>
      <c r="F4" s="20">
        <f>SUMIF(Transactions!B:B,"Freelance",Transactions!D:D)</f>
        <v>17000</v>
      </c>
    </row>
    <row r="5" spans="1:6" ht="18" customHeight="1" x14ac:dyDescent="0.3">
      <c r="A5" s="10" t="s">
        <v>18</v>
      </c>
      <c r="B5" s="15">
        <f>SUMIF(Transactions!B:B,"Food",Transactions!E:E)</f>
        <v>2680</v>
      </c>
      <c r="C5" s="16">
        <f t="shared" si="0"/>
        <v>5.8116840872620026</v>
      </c>
      <c r="E5" s="21" t="s">
        <v>96</v>
      </c>
      <c r="F5" s="22">
        <f>SUM(F3:F4)</f>
        <v>65000</v>
      </c>
    </row>
    <row r="6" spans="1:6" ht="18" customHeight="1" x14ac:dyDescent="0.3">
      <c r="A6" s="17" t="s">
        <v>15</v>
      </c>
      <c r="B6" s="18">
        <f>SUMIF(Transactions!B:B,"Transport",Transactions!E:E)</f>
        <v>3300</v>
      </c>
      <c r="C6" s="19">
        <f t="shared" si="0"/>
        <v>7.1561781671509745</v>
      </c>
    </row>
    <row r="7" spans="1:6" ht="18" customHeight="1" x14ac:dyDescent="0.3">
      <c r="A7" s="10" t="s">
        <v>21</v>
      </c>
      <c r="B7" s="15">
        <f>SUMIF(Transactions!B:B,"Utilities",Transactions!E:E)</f>
        <v>2949</v>
      </c>
      <c r="C7" s="16">
        <f t="shared" si="0"/>
        <v>6.3950210348267342</v>
      </c>
    </row>
    <row r="8" spans="1:6" ht="18" customHeight="1" x14ac:dyDescent="0.3">
      <c r="A8" s="17" t="s">
        <v>29</v>
      </c>
      <c r="B8" s="18">
        <f>SUMIF(Transactions!B:B,"Entertainment",Transactions!E:E)</f>
        <v>1148</v>
      </c>
      <c r="C8" s="19">
        <f t="shared" si="0"/>
        <v>2.4894825866331267</v>
      </c>
    </row>
    <row r="9" spans="1:6" ht="18" customHeight="1" x14ac:dyDescent="0.3">
      <c r="A9" s="10" t="s">
        <v>41</v>
      </c>
      <c r="B9" s="15">
        <f>SUMIF(Transactions!B:B,"Clothing",Transactions!E:E)</f>
        <v>2799</v>
      </c>
      <c r="C9" s="16">
        <f t="shared" si="0"/>
        <v>6.0697402090471444</v>
      </c>
    </row>
    <row r="10" spans="1:6" ht="18" customHeight="1" x14ac:dyDescent="0.3">
      <c r="A10" s="17" t="s">
        <v>44</v>
      </c>
      <c r="B10" s="18">
        <f>SUMIF(Transactions!B:B,"Healthcare",Transactions!E:E)</f>
        <v>840</v>
      </c>
      <c r="C10" s="19">
        <f t="shared" si="0"/>
        <v>1.8215726243657022</v>
      </c>
    </row>
    <row r="11" spans="1:6" ht="18" customHeight="1" x14ac:dyDescent="0.3">
      <c r="A11" s="10" t="s">
        <v>53</v>
      </c>
      <c r="B11" s="15">
        <f>SUMIF(Transactions!B:B,"Education",Transactions!E:E)</f>
        <v>1499</v>
      </c>
      <c r="C11" s="16">
        <f t="shared" si="0"/>
        <v>3.250639718957367</v>
      </c>
    </row>
    <row r="12" spans="1:6" ht="18" customHeight="1" x14ac:dyDescent="0.3">
      <c r="A12" s="17" t="s">
        <v>60</v>
      </c>
      <c r="B12" s="18">
        <f>SUMIF(Transactions!B:B,"Savings",Transactions!E:E)</f>
        <v>8000</v>
      </c>
      <c r="C12" s="19">
        <f t="shared" si="0"/>
        <v>17.348310708244785</v>
      </c>
    </row>
    <row r="13" spans="1:6" ht="18" customHeight="1" x14ac:dyDescent="0.3">
      <c r="A13" s="10" t="s">
        <v>24</v>
      </c>
      <c r="B13" s="15">
        <f>SUMIF(Transactions!B:B,"Mobile",Transactions!E:E)</f>
        <v>499</v>
      </c>
      <c r="C13" s="16">
        <f t="shared" si="0"/>
        <v>1.0821008804267684</v>
      </c>
    </row>
    <row r="14" spans="1:6" ht="18" customHeight="1" x14ac:dyDescent="0.3">
      <c r="A14" s="17" t="s">
        <v>81</v>
      </c>
      <c r="B14" s="18">
        <f>SUMIF(Transactions!B:B,"Miscellaneous",Transactions!E:E)</f>
        <v>700</v>
      </c>
      <c r="C14" s="19">
        <f t="shared" si="0"/>
        <v>1.5179771869714187</v>
      </c>
    </row>
    <row r="15" spans="1:6" ht="14.4" x14ac:dyDescent="0.3">
      <c r="A15" s="21" t="s">
        <v>97</v>
      </c>
      <c r="B15" s="22">
        <f>SUM(B3:B14)</f>
        <v>46114</v>
      </c>
      <c r="C15" s="21" t="s">
        <v>98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">
    <mergeCell ref="A1:C1"/>
    <mergeCell ref="E1:F1"/>
  </mergeCells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workbookViewId="0">
      <selection sqref="A1:H2"/>
    </sheetView>
  </sheetViews>
  <sheetFormatPr defaultColWidth="14.44140625" defaultRowHeight="15" customHeight="1" x14ac:dyDescent="0.3"/>
  <cols>
    <col min="1" max="2" width="16" customWidth="1"/>
    <col min="3" max="3" width="12" customWidth="1"/>
    <col min="4" max="4" width="22" customWidth="1"/>
    <col min="5" max="5" width="16" customWidth="1"/>
    <col min="6" max="6" width="4" customWidth="1"/>
    <col min="7" max="7" width="14" customWidth="1"/>
    <col min="8" max="8" width="4" customWidth="1"/>
    <col min="9" max="11" width="8.6640625" customWidth="1"/>
  </cols>
  <sheetData>
    <row r="1" spans="1:8" ht="19.5" customHeight="1" x14ac:dyDescent="0.3">
      <c r="A1" s="40" t="s">
        <v>99</v>
      </c>
      <c r="B1" s="41"/>
      <c r="C1" s="41"/>
      <c r="D1" s="41"/>
      <c r="E1" s="41"/>
      <c r="F1" s="41"/>
      <c r="G1" s="41"/>
      <c r="H1" s="42"/>
    </row>
    <row r="2" spans="1:8" ht="19.5" customHeight="1" x14ac:dyDescent="0.3">
      <c r="A2" s="43"/>
      <c r="B2" s="44"/>
      <c r="C2" s="44"/>
      <c r="D2" s="44"/>
      <c r="E2" s="44"/>
      <c r="F2" s="44"/>
      <c r="G2" s="44"/>
      <c r="H2" s="45"/>
    </row>
    <row r="3" spans="1:8" ht="18" customHeight="1" x14ac:dyDescent="0.3">
      <c r="A3" s="46"/>
      <c r="B3" s="39"/>
      <c r="C3" s="39"/>
      <c r="D3" s="39"/>
      <c r="E3" s="39"/>
      <c r="F3" s="39"/>
      <c r="G3" s="39"/>
      <c r="H3" s="39"/>
    </row>
    <row r="4" spans="1:8" ht="21.75" customHeight="1" x14ac:dyDescent="0.3">
      <c r="A4" s="47" t="s">
        <v>100</v>
      </c>
      <c r="B4" s="36"/>
      <c r="C4" s="47" t="s">
        <v>101</v>
      </c>
      <c r="D4" s="36"/>
      <c r="E4" s="47" t="s">
        <v>102</v>
      </c>
      <c r="F4" s="36"/>
      <c r="G4" s="47" t="s">
        <v>103</v>
      </c>
      <c r="H4" s="36"/>
    </row>
    <row r="5" spans="1:8" ht="30" customHeight="1" x14ac:dyDescent="0.3">
      <c r="A5" s="49">
        <f>SUMIF(Transactions!B:B,"Salary",Transactions!D:D)+SUMIF(Transactions!B:B,"Freelance",Transactions!D:D)</f>
        <v>65000</v>
      </c>
      <c r="B5" s="36"/>
      <c r="C5" s="49">
        <f>SUM(Transactions!E:E)</f>
        <v>46114</v>
      </c>
      <c r="D5" s="36"/>
      <c r="E5" s="50">
        <f>A5-C5</f>
        <v>18886</v>
      </c>
      <c r="F5" s="36"/>
      <c r="G5" s="48" t="str">
        <f>IF(A5=0,"N/A",TEXT((E5/A5)*100,"0.0")&amp;"%")</f>
        <v>29.1%</v>
      </c>
      <c r="H5" s="36"/>
    </row>
    <row r="6" spans="1:8" ht="6" customHeight="1" x14ac:dyDescent="0.3">
      <c r="A6" s="35"/>
      <c r="B6" s="36"/>
      <c r="C6" s="35"/>
      <c r="D6" s="36"/>
      <c r="E6" s="35"/>
      <c r="F6" s="36"/>
      <c r="G6" s="35"/>
      <c r="H6" s="36"/>
    </row>
    <row r="7" spans="1:8" ht="18" customHeight="1" x14ac:dyDescent="0.3"/>
    <row r="8" spans="1:8" ht="24" customHeight="1" x14ac:dyDescent="0.3">
      <c r="A8" s="37" t="s">
        <v>104</v>
      </c>
      <c r="B8" s="32"/>
      <c r="C8" s="32"/>
      <c r="D8" s="33"/>
    </row>
    <row r="9" spans="1:8" ht="18" customHeight="1" x14ac:dyDescent="0.3">
      <c r="A9" s="14" t="s">
        <v>1</v>
      </c>
      <c r="B9" s="14" t="s">
        <v>4</v>
      </c>
      <c r="C9" s="14" t="s">
        <v>105</v>
      </c>
      <c r="D9" s="14" t="s">
        <v>106</v>
      </c>
    </row>
    <row r="10" spans="1:8" ht="18" customHeight="1" x14ac:dyDescent="0.3">
      <c r="A10" s="4" t="s">
        <v>9</v>
      </c>
      <c r="B10" s="23">
        <f>SUMIF(Transactions!B:B,"Rent",Transactions!E:E)</f>
        <v>13500</v>
      </c>
      <c r="C10" s="3" t="str">
        <f>IF(B10=0,"",TEXT(B10/SUM($B$10:$B$14)*100,"0.0")&amp;"%")</f>
        <v>37.8%</v>
      </c>
      <c r="D10" s="24" t="str">
        <f>REPT("█",ROUND(B10/SUM($B$10:$B$14)*20,0))</f>
        <v>████████</v>
      </c>
    </row>
    <row r="11" spans="1:8" ht="18" customHeight="1" x14ac:dyDescent="0.3">
      <c r="A11" s="10" t="s">
        <v>60</v>
      </c>
      <c r="B11" s="25">
        <f>SUMIF(Transactions!B:B,"Savings",Transactions!E:E)</f>
        <v>8000</v>
      </c>
      <c r="C11" s="9" t="str">
        <f>IF(B11=0,"",TEXT(B11/SUM($B$10:$B$14)*100,"0.0")&amp;"%")</f>
        <v>22.4%</v>
      </c>
      <c r="D11" s="26" t="str">
        <f>REPT("█",ROUND(B11/SUM($B$10:$B$14)*20,0))</f>
        <v>████</v>
      </c>
    </row>
    <row r="12" spans="1:8" ht="18" customHeight="1" x14ac:dyDescent="0.3">
      <c r="A12" s="4" t="s">
        <v>12</v>
      </c>
      <c r="B12" s="23">
        <f>SUMIF(Transactions!B:B,"Groceries",Transactions!E:E)</f>
        <v>8200</v>
      </c>
      <c r="C12" s="3" t="str">
        <f>IF(B12=0,"",TEXT(B12/SUM($B$10:$B$14)*100,"0.0")&amp;"%")</f>
        <v>23.0%</v>
      </c>
      <c r="D12" s="24" t="str">
        <f>REPT("█",ROUND(B12/SUM($B$10:$B$14)*20,0))</f>
        <v>█████</v>
      </c>
    </row>
    <row r="13" spans="1:8" ht="18" customHeight="1" x14ac:dyDescent="0.3">
      <c r="A13" s="10" t="s">
        <v>15</v>
      </c>
      <c r="B13" s="25">
        <f>SUMIF(Transactions!B:B,"Transport",Transactions!E:E)</f>
        <v>3300</v>
      </c>
      <c r="C13" s="9" t="str">
        <f>IF(B13=0,"",TEXT(B13/SUM($B$10:$B$14)*100,"0.0")&amp;"%")</f>
        <v>9.2%</v>
      </c>
      <c r="D13" s="26" t="str">
        <f>REPT("█",ROUND(B13/SUM($B$10:$B$14)*20,0))</f>
        <v>██</v>
      </c>
    </row>
    <row r="14" spans="1:8" ht="18" customHeight="1" x14ac:dyDescent="0.3">
      <c r="A14" s="4" t="s">
        <v>18</v>
      </c>
      <c r="B14" s="23">
        <f>SUMIF(Transactions!B:B,"Food",Transactions!E:E)</f>
        <v>2680</v>
      </c>
      <c r="C14" s="3" t="str">
        <f>IF(B14=0,"",TEXT(B14/SUM($B$10:$B$14)*100,"0.0")&amp;"%")</f>
        <v>7.5%</v>
      </c>
      <c r="D14" s="24" t="str">
        <f>REPT("█",ROUND(B14/SUM($B$10:$B$14)*20,0))</f>
        <v>██</v>
      </c>
    </row>
    <row r="15" spans="1:8" ht="18" customHeight="1" x14ac:dyDescent="0.3"/>
    <row r="16" spans="1:8" ht="19.5" customHeight="1" x14ac:dyDescent="0.3">
      <c r="A16" s="38" t="s">
        <v>107</v>
      </c>
      <c r="B16" s="39"/>
      <c r="C16" s="39"/>
      <c r="D16" s="39"/>
      <c r="E16" s="39"/>
      <c r="F16" s="39"/>
      <c r="G16" s="39"/>
      <c r="H16" s="39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6">
    <mergeCell ref="G6:H6"/>
    <mergeCell ref="A8:D8"/>
    <mergeCell ref="A16:H16"/>
    <mergeCell ref="A1:H2"/>
    <mergeCell ref="A3:H3"/>
    <mergeCell ref="A4:B4"/>
    <mergeCell ref="C4:D4"/>
    <mergeCell ref="E4:F4"/>
    <mergeCell ref="G4:H4"/>
    <mergeCell ref="G5:H5"/>
    <mergeCell ref="C5:D5"/>
    <mergeCell ref="E5:F5"/>
    <mergeCell ref="A5:B5"/>
    <mergeCell ref="A6:B6"/>
    <mergeCell ref="C6:D6"/>
    <mergeCell ref="E6:F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Sheet1</vt:lpstr>
      <vt:lpstr>Summary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1</cp:revision>
  <dcterms:created xsi:type="dcterms:W3CDTF">2026-05-25T13:41:44Z</dcterms:created>
  <dcterms:modified xsi:type="dcterms:W3CDTF">2026-09-18T10:53:24Z</dcterms:modified>
  <dc:language>en-US</dc:language>
</cp:coreProperties>
</file>