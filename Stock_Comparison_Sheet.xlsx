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Pictures\Documents\"/>
    </mc:Choice>
  </mc:AlternateContent>
  <bookViews>
    <workbookView xWindow="0" yWindow="0" windowWidth="17256" windowHeight="5796" activeTab="7"/>
  </bookViews>
  <sheets>
    <sheet name="Comparison" sheetId="1" r:id="rId1"/>
    <sheet name="Reliance" sheetId="2" r:id="rId2"/>
    <sheet name="TCS" sheetId="3" r:id="rId3"/>
    <sheet name="HDFC" sheetId="4" r:id="rId4"/>
    <sheet name="INFY" sheetId="5" r:id="rId5"/>
    <sheet name="WIPRO" sheetId="6" r:id="rId6"/>
    <sheet name="Dashboard" sheetId="7" r:id="rId7"/>
    <sheet name="Chart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" i="7" l="1"/>
  <c r="E9" i="7"/>
  <c r="F9" i="7"/>
  <c r="G9" i="7"/>
  <c r="C9" i="7"/>
  <c r="D8" i="7"/>
  <c r="E8" i="7"/>
  <c r="F8" i="7"/>
  <c r="G8" i="7"/>
  <c r="C8" i="7"/>
  <c r="D7" i="7"/>
  <c r="E7" i="7"/>
  <c r="F7" i="7"/>
  <c r="G7" i="7"/>
  <c r="C7" i="7"/>
  <c r="D6" i="7"/>
  <c r="E6" i="7"/>
  <c r="F6" i="7"/>
  <c r="G6" i="7"/>
  <c r="C6" i="7"/>
  <c r="C29" i="1"/>
  <c r="D29" i="1"/>
  <c r="E29" i="1"/>
  <c r="F29" i="1"/>
  <c r="B29" i="1"/>
  <c r="C28" i="1"/>
  <c r="D28" i="1"/>
  <c r="E28" i="1"/>
  <c r="F28" i="1"/>
  <c r="B28" i="1"/>
  <c r="C27" i="1"/>
  <c r="D27" i="1"/>
  <c r="E27" i="1"/>
  <c r="F27" i="1"/>
  <c r="B27" i="1"/>
  <c r="F26" i="1"/>
  <c r="E26" i="1"/>
  <c r="D26" i="1"/>
  <c r="C26" i="1"/>
  <c r="B2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" i="1"/>
</calcChain>
</file>

<file path=xl/sharedStrings.xml><?xml version="1.0" encoding="utf-8"?>
<sst xmlns="http://schemas.openxmlformats.org/spreadsheetml/2006/main" count="177" uniqueCount="55">
  <si>
    <t>Date</t>
  </si>
  <si>
    <t>Open</t>
  </si>
  <si>
    <t>High</t>
  </si>
  <si>
    <t>Low</t>
  </si>
  <si>
    <t>Close</t>
  </si>
  <si>
    <t>Adj Close</t>
  </si>
  <si>
    <t>Volume</t>
  </si>
  <si>
    <t>May 22, 2026</t>
  </si>
  <si>
    <t>May 21, 2026</t>
  </si>
  <si>
    <t>May 20, 2026</t>
  </si>
  <si>
    <t>May 19, 2026</t>
  </si>
  <si>
    <t>May 18, 2026</t>
  </si>
  <si>
    <t>May 15, 2026</t>
  </si>
  <si>
    <t>May 14, 2026</t>
  </si>
  <si>
    <t>May 13, 2026</t>
  </si>
  <si>
    <t>May 12, 2026</t>
  </si>
  <si>
    <t>May 11, 2026</t>
  </si>
  <si>
    <t>May 8, 2026</t>
  </si>
  <si>
    <t>May 7, 2026</t>
  </si>
  <si>
    <t>May 6, 2026</t>
  </si>
  <si>
    <t>May 5, 2026</t>
  </si>
  <si>
    <t>May 4, 2026</t>
  </si>
  <si>
    <t>May 1, 2026</t>
  </si>
  <si>
    <t>-</t>
  </si>
  <si>
    <t>Apr 30, 2026</t>
  </si>
  <si>
    <t>Apr 29, 2026</t>
  </si>
  <si>
    <t>Apr 28, 2026</t>
  </si>
  <si>
    <t>Apr 27, 2026</t>
  </si>
  <si>
    <t>May 25, 2026</t>
  </si>
  <si>
    <t>31 Dividend</t>
  </si>
  <si>
    <t>Reliance</t>
  </si>
  <si>
    <t>TCS</t>
  </si>
  <si>
    <t>HDFC</t>
  </si>
  <si>
    <t>INFY</t>
  </si>
  <si>
    <t>Wipro</t>
  </si>
  <si>
    <t>SUMMARY</t>
  </si>
  <si>
    <t>METRIC</t>
  </si>
  <si>
    <t>RELIANCE</t>
  </si>
  <si>
    <t>WIPRO</t>
  </si>
  <si>
    <t>Highest Price</t>
  </si>
  <si>
    <t>Lowest Price</t>
  </si>
  <si>
    <t>Average</t>
  </si>
  <si>
    <t>Price Change</t>
  </si>
  <si>
    <t>Stock Market Analysis Dashboard</t>
  </si>
  <si>
    <t>Analyst: Shraddha Singh | Banasthali Vidyapith | May 2026</t>
  </si>
  <si>
    <t>HIGHEST PRICE</t>
  </si>
  <si>
    <t>LOWEST PRICE</t>
  </si>
  <si>
    <t xml:space="preserve">AVERAGE </t>
  </si>
  <si>
    <t>PRICE CHANGE</t>
  </si>
  <si>
    <t>KEY INSIGHTS</t>
  </si>
  <si>
    <t>1. INFY was the only stock with positive price change (+4.2)</t>
  </si>
  <si>
    <t>4. Wipro was the most stable stock with smallest price range</t>
  </si>
  <si>
    <t>3. TCS had the highest average price at 2373.14 INR</t>
  </si>
  <si>
    <t>5. HDFC had the lowest price range among all 5 stocks</t>
  </si>
  <si>
    <t>2. TCS recorded the highest drop of -130.3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</si>
</sst>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8" tint="-0.499984740745262"/>
      <name val="Calibri"/>
      <family val="2"/>
      <scheme val="minor"/>
    </font>
    <font>
      <i/>
      <sz val="11"/>
      <color theme="3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" fontId="0" fillId="0" borderId="0" xfId="0" applyNumberFormat="1"/>
    <xf numFmtId="3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2" fontId="0" fillId="3" borderId="0" xfId="0" applyNumberFormat="1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10" borderId="0" xfId="0" applyFill="1"/>
    <xf numFmtId="0" fontId="1" fillId="7" borderId="1" xfId="0" applyFont="1" applyFill="1" applyBorder="1"/>
    <xf numFmtId="0" fontId="2" fillId="8" borderId="1" xfId="0" applyFont="1" applyFill="1" applyBorder="1"/>
    <xf numFmtId="2" fontId="0" fillId="8" borderId="1" xfId="0" applyNumberFormat="1" applyFill="1" applyBorder="1"/>
    <xf numFmtId="0" fontId="2" fillId="4" borderId="1" xfId="0" applyFont="1" applyFill="1" applyBorder="1"/>
    <xf numFmtId="2" fontId="0" fillId="4" borderId="1" xfId="0" applyNumberFormat="1" applyFill="1" applyBorder="1"/>
    <xf numFmtId="0" fontId="2" fillId="5" borderId="1" xfId="0" applyFont="1" applyFill="1" applyBorder="1"/>
    <xf numFmtId="0" fontId="0" fillId="5" borderId="1" xfId="0" applyFill="1" applyBorder="1"/>
    <xf numFmtId="0" fontId="2" fillId="9" borderId="1" xfId="0" applyFont="1" applyFill="1" applyBorder="1"/>
    <xf numFmtId="0" fontId="0" fillId="9" borderId="1" xfId="0" applyFill="1" applyBorder="1"/>
    <xf numFmtId="0" fontId="3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Stock Price Comparison- Apr to May 2026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Reliance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Comparison!$B$2:$B$21</c:f>
              <c:numCache>
                <c:formatCode>General</c:formatCode>
                <c:ptCount val="20"/>
                <c:pt idx="0">
                  <c:v>1354.5</c:v>
                </c:pt>
                <c:pt idx="1">
                  <c:v>1349.6</c:v>
                </c:pt>
                <c:pt idx="2">
                  <c:v>1359.7</c:v>
                </c:pt>
                <c:pt idx="3">
                  <c:v>1322.7</c:v>
                </c:pt>
                <c:pt idx="4">
                  <c:v>1335.9</c:v>
                </c:pt>
                <c:pt idx="5">
                  <c:v>1336.4</c:v>
                </c:pt>
                <c:pt idx="6">
                  <c:v>1361.8</c:v>
                </c:pt>
                <c:pt idx="7">
                  <c:v>1358.8</c:v>
                </c:pt>
                <c:pt idx="8">
                  <c:v>1364</c:v>
                </c:pt>
                <c:pt idx="9">
                  <c:v>1388.2</c:v>
                </c:pt>
                <c:pt idx="10">
                  <c:v>1435.2</c:v>
                </c:pt>
                <c:pt idx="11">
                  <c:v>1436.2</c:v>
                </c:pt>
                <c:pt idx="12">
                  <c:v>1437.9</c:v>
                </c:pt>
                <c:pt idx="13">
                  <c:v>1463.6</c:v>
                </c:pt>
                <c:pt idx="14">
                  <c:v>1463.1</c:v>
                </c:pt>
                <c:pt idx="15">
                  <c:v>1430.8</c:v>
                </c:pt>
                <c:pt idx="16">
                  <c:v>1430.8</c:v>
                </c:pt>
                <c:pt idx="17">
                  <c:v>1425.4</c:v>
                </c:pt>
                <c:pt idx="18">
                  <c:v>1388.9</c:v>
                </c:pt>
                <c:pt idx="19">
                  <c:v>1365.8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TCS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Comparison!$C$2:$C$21</c:f>
              <c:numCache>
                <c:formatCode>General</c:formatCode>
                <c:ptCount val="20"/>
                <c:pt idx="0">
                  <c:v>2317.3000000000002</c:v>
                </c:pt>
                <c:pt idx="1">
                  <c:v>2327.1999999999998</c:v>
                </c:pt>
                <c:pt idx="2">
                  <c:v>2327.4</c:v>
                </c:pt>
                <c:pt idx="3">
                  <c:v>2327.1</c:v>
                </c:pt>
                <c:pt idx="4">
                  <c:v>2283.1999999999998</c:v>
                </c:pt>
                <c:pt idx="5">
                  <c:v>2264</c:v>
                </c:pt>
                <c:pt idx="6">
                  <c:v>2246</c:v>
                </c:pt>
                <c:pt idx="7">
                  <c:v>2272.8000000000002</c:v>
                </c:pt>
                <c:pt idx="8">
                  <c:v>2300.3000000000002</c:v>
                </c:pt>
                <c:pt idx="9">
                  <c:v>2392.9</c:v>
                </c:pt>
                <c:pt idx="10">
                  <c:v>2394.4</c:v>
                </c:pt>
                <c:pt idx="11">
                  <c:v>2401.4</c:v>
                </c:pt>
                <c:pt idx="12">
                  <c:v>2435.4</c:v>
                </c:pt>
                <c:pt idx="13">
                  <c:v>2427.3000000000002</c:v>
                </c:pt>
                <c:pt idx="14">
                  <c:v>2431.3000000000002</c:v>
                </c:pt>
                <c:pt idx="15">
                  <c:v>2473.9</c:v>
                </c:pt>
                <c:pt idx="16">
                  <c:v>2473.9</c:v>
                </c:pt>
                <c:pt idx="17">
                  <c:v>2474.6999999999998</c:v>
                </c:pt>
                <c:pt idx="18">
                  <c:v>2444.6999999999998</c:v>
                </c:pt>
                <c:pt idx="19">
                  <c:v>2447.6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Comparison!$D$1</c:f>
              <c:strCache>
                <c:ptCount val="1"/>
                <c:pt idx="0">
                  <c:v>HDFC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Comparison!$D$2:$D$21</c:f>
              <c:numCache>
                <c:formatCode>General</c:formatCode>
                <c:ptCount val="20"/>
                <c:pt idx="0">
                  <c:v>766.8</c:v>
                </c:pt>
                <c:pt idx="1">
                  <c:v>759.15</c:v>
                </c:pt>
                <c:pt idx="2">
                  <c:v>759.5</c:v>
                </c:pt>
                <c:pt idx="3">
                  <c:v>762.45</c:v>
                </c:pt>
                <c:pt idx="4">
                  <c:v>768.65</c:v>
                </c:pt>
                <c:pt idx="5">
                  <c:v>767.5</c:v>
                </c:pt>
                <c:pt idx="6">
                  <c:v>769.55</c:v>
                </c:pt>
                <c:pt idx="7">
                  <c:v>749.6</c:v>
                </c:pt>
                <c:pt idx="8">
                  <c:v>750.45</c:v>
                </c:pt>
                <c:pt idx="9">
                  <c:v>763.65</c:v>
                </c:pt>
                <c:pt idx="10">
                  <c:v>780.85</c:v>
                </c:pt>
                <c:pt idx="11">
                  <c:v>796.05</c:v>
                </c:pt>
                <c:pt idx="12">
                  <c:v>796.55</c:v>
                </c:pt>
                <c:pt idx="13">
                  <c:v>772.3</c:v>
                </c:pt>
                <c:pt idx="14">
                  <c:v>779.4</c:v>
                </c:pt>
                <c:pt idx="15">
                  <c:v>771.7</c:v>
                </c:pt>
                <c:pt idx="16">
                  <c:v>771.7</c:v>
                </c:pt>
                <c:pt idx="17">
                  <c:v>779</c:v>
                </c:pt>
                <c:pt idx="18">
                  <c:v>782.55</c:v>
                </c:pt>
                <c:pt idx="19">
                  <c:v>789.8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Comparison!$E$1</c:f>
              <c:strCache>
                <c:ptCount val="1"/>
                <c:pt idx="0">
                  <c:v>INFY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Comparison!$E$2:$E$21</c:f>
              <c:numCache>
                <c:formatCode>General</c:formatCode>
                <c:ptCount val="20"/>
                <c:pt idx="0">
                  <c:v>1174.5</c:v>
                </c:pt>
                <c:pt idx="1">
                  <c:v>1181.2</c:v>
                </c:pt>
                <c:pt idx="2">
                  <c:v>1193.7</c:v>
                </c:pt>
                <c:pt idx="3">
                  <c:v>1196.9000000000001</c:v>
                </c:pt>
                <c:pt idx="4">
                  <c:v>1142.5</c:v>
                </c:pt>
                <c:pt idx="5">
                  <c:v>1119</c:v>
                </c:pt>
                <c:pt idx="6">
                  <c:v>1095</c:v>
                </c:pt>
                <c:pt idx="7">
                  <c:v>1123.0999999999999</c:v>
                </c:pt>
                <c:pt idx="8">
                  <c:v>1140.3</c:v>
                </c:pt>
                <c:pt idx="9">
                  <c:v>1177</c:v>
                </c:pt>
                <c:pt idx="10">
                  <c:v>1179.2</c:v>
                </c:pt>
                <c:pt idx="11">
                  <c:v>1162.7</c:v>
                </c:pt>
                <c:pt idx="12">
                  <c:v>1167.2</c:v>
                </c:pt>
                <c:pt idx="13">
                  <c:v>1178.0999999999999</c:v>
                </c:pt>
                <c:pt idx="14">
                  <c:v>1168.4000000000001</c:v>
                </c:pt>
                <c:pt idx="15">
                  <c:v>1181.8</c:v>
                </c:pt>
                <c:pt idx="16">
                  <c:v>1181.8</c:v>
                </c:pt>
                <c:pt idx="17">
                  <c:v>1167.5</c:v>
                </c:pt>
                <c:pt idx="18">
                  <c:v>1152.0999999999999</c:v>
                </c:pt>
                <c:pt idx="19">
                  <c:v>1170.3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Comparison!$F$1</c:f>
              <c:strCache>
                <c:ptCount val="1"/>
                <c:pt idx="0">
                  <c:v>Wipro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Comparison!$F$2:$F$21</c:f>
              <c:numCache>
                <c:formatCode>General</c:formatCode>
                <c:ptCount val="20"/>
                <c:pt idx="0">
                  <c:v>203.11</c:v>
                </c:pt>
                <c:pt idx="1">
                  <c:v>199.74</c:v>
                </c:pt>
                <c:pt idx="2">
                  <c:v>197.12</c:v>
                </c:pt>
                <c:pt idx="3">
                  <c:v>195.17</c:v>
                </c:pt>
                <c:pt idx="4">
                  <c:v>192.17</c:v>
                </c:pt>
                <c:pt idx="5">
                  <c:v>190</c:v>
                </c:pt>
                <c:pt idx="6">
                  <c:v>188.3</c:v>
                </c:pt>
                <c:pt idx="7">
                  <c:v>187.8</c:v>
                </c:pt>
                <c:pt idx="8">
                  <c:v>189.57</c:v>
                </c:pt>
                <c:pt idx="9">
                  <c:v>196.68</c:v>
                </c:pt>
                <c:pt idx="10">
                  <c:v>197.91</c:v>
                </c:pt>
                <c:pt idx="11">
                  <c:v>197.36</c:v>
                </c:pt>
                <c:pt idx="12">
                  <c:v>199.12</c:v>
                </c:pt>
                <c:pt idx="13">
                  <c:v>199.78</c:v>
                </c:pt>
                <c:pt idx="14">
                  <c:v>200.75</c:v>
                </c:pt>
                <c:pt idx="15">
                  <c:v>200.65</c:v>
                </c:pt>
                <c:pt idx="16">
                  <c:v>200.65</c:v>
                </c:pt>
                <c:pt idx="17">
                  <c:v>200.68</c:v>
                </c:pt>
                <c:pt idx="18">
                  <c:v>201.58</c:v>
                </c:pt>
                <c:pt idx="19">
                  <c:v>205.05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378176"/>
        <c:axId val="432372296"/>
      </c:lineChart>
      <c:catAx>
        <c:axId val="4323781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72296"/>
        <c:crosses val="autoZero"/>
        <c:auto val="1"/>
        <c:lblAlgn val="ctr"/>
        <c:lblOffset val="100"/>
        <c:noMultiLvlLbl val="0"/>
      </c:catAx>
      <c:valAx>
        <c:axId val="432372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Closing</a:t>
                </a:r>
                <a:r>
                  <a:rPr lang="en-IN" baseline="0"/>
                  <a:t> Price (inr)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78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Stock Price Comparison- Apr to May 2026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Comparison!$B$1</c:f>
              <c:strCache>
                <c:ptCount val="1"/>
                <c:pt idx="0">
                  <c:v>Reliance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Comparison!$B$2:$B$21</c:f>
              <c:numCache>
                <c:formatCode>General</c:formatCode>
                <c:ptCount val="20"/>
                <c:pt idx="0">
                  <c:v>1354.5</c:v>
                </c:pt>
                <c:pt idx="1">
                  <c:v>1349.6</c:v>
                </c:pt>
                <c:pt idx="2">
                  <c:v>1359.7</c:v>
                </c:pt>
                <c:pt idx="3">
                  <c:v>1322.7</c:v>
                </c:pt>
                <c:pt idx="4">
                  <c:v>1335.9</c:v>
                </c:pt>
                <c:pt idx="5">
                  <c:v>1336.4</c:v>
                </c:pt>
                <c:pt idx="6">
                  <c:v>1361.8</c:v>
                </c:pt>
                <c:pt idx="7">
                  <c:v>1358.8</c:v>
                </c:pt>
                <c:pt idx="8">
                  <c:v>1364</c:v>
                </c:pt>
                <c:pt idx="9">
                  <c:v>1388.2</c:v>
                </c:pt>
                <c:pt idx="10">
                  <c:v>1435.2</c:v>
                </c:pt>
                <c:pt idx="11">
                  <c:v>1436.2</c:v>
                </c:pt>
                <c:pt idx="12">
                  <c:v>1437.9</c:v>
                </c:pt>
                <c:pt idx="13">
                  <c:v>1463.6</c:v>
                </c:pt>
                <c:pt idx="14">
                  <c:v>1463.1</c:v>
                </c:pt>
                <c:pt idx="15">
                  <c:v>1430.8</c:v>
                </c:pt>
                <c:pt idx="16">
                  <c:v>1430.8</c:v>
                </c:pt>
                <c:pt idx="17">
                  <c:v>1425.4</c:v>
                </c:pt>
                <c:pt idx="18">
                  <c:v>1388.9</c:v>
                </c:pt>
                <c:pt idx="19">
                  <c:v>1365.8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Comparison!$C$1</c:f>
              <c:strCache>
                <c:ptCount val="1"/>
                <c:pt idx="0">
                  <c:v>TCS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Comparison!$C$2:$C$21</c:f>
              <c:numCache>
                <c:formatCode>General</c:formatCode>
                <c:ptCount val="20"/>
                <c:pt idx="0">
                  <c:v>2317.3000000000002</c:v>
                </c:pt>
                <c:pt idx="1">
                  <c:v>2327.1999999999998</c:v>
                </c:pt>
                <c:pt idx="2">
                  <c:v>2327.4</c:v>
                </c:pt>
                <c:pt idx="3">
                  <c:v>2327.1</c:v>
                </c:pt>
                <c:pt idx="4">
                  <c:v>2283.1999999999998</c:v>
                </c:pt>
                <c:pt idx="5">
                  <c:v>2264</c:v>
                </c:pt>
                <c:pt idx="6">
                  <c:v>2246</c:v>
                </c:pt>
                <c:pt idx="7">
                  <c:v>2272.8000000000002</c:v>
                </c:pt>
                <c:pt idx="8">
                  <c:v>2300.3000000000002</c:v>
                </c:pt>
                <c:pt idx="9">
                  <c:v>2392.9</c:v>
                </c:pt>
                <c:pt idx="10">
                  <c:v>2394.4</c:v>
                </c:pt>
                <c:pt idx="11">
                  <c:v>2401.4</c:v>
                </c:pt>
                <c:pt idx="12">
                  <c:v>2435.4</c:v>
                </c:pt>
                <c:pt idx="13">
                  <c:v>2427.3000000000002</c:v>
                </c:pt>
                <c:pt idx="14">
                  <c:v>2431.3000000000002</c:v>
                </c:pt>
                <c:pt idx="15">
                  <c:v>2473.9</c:v>
                </c:pt>
                <c:pt idx="16">
                  <c:v>2473.9</c:v>
                </c:pt>
                <c:pt idx="17">
                  <c:v>2474.6999999999998</c:v>
                </c:pt>
                <c:pt idx="18">
                  <c:v>2444.6999999999998</c:v>
                </c:pt>
                <c:pt idx="19">
                  <c:v>2447.6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Comparison!$D$1</c:f>
              <c:strCache>
                <c:ptCount val="1"/>
                <c:pt idx="0">
                  <c:v>HDFC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Comparison!$D$2:$D$21</c:f>
              <c:numCache>
                <c:formatCode>General</c:formatCode>
                <c:ptCount val="20"/>
                <c:pt idx="0">
                  <c:v>766.8</c:v>
                </c:pt>
                <c:pt idx="1">
                  <c:v>759.15</c:v>
                </c:pt>
                <c:pt idx="2">
                  <c:v>759.5</c:v>
                </c:pt>
                <c:pt idx="3">
                  <c:v>762.45</c:v>
                </c:pt>
                <c:pt idx="4">
                  <c:v>768.65</c:v>
                </c:pt>
                <c:pt idx="5">
                  <c:v>767.5</c:v>
                </c:pt>
                <c:pt idx="6">
                  <c:v>769.55</c:v>
                </c:pt>
                <c:pt idx="7">
                  <c:v>749.6</c:v>
                </c:pt>
                <c:pt idx="8">
                  <c:v>750.45</c:v>
                </c:pt>
                <c:pt idx="9">
                  <c:v>763.65</c:v>
                </c:pt>
                <c:pt idx="10">
                  <c:v>780.85</c:v>
                </c:pt>
                <c:pt idx="11">
                  <c:v>796.05</c:v>
                </c:pt>
                <c:pt idx="12">
                  <c:v>796.55</c:v>
                </c:pt>
                <c:pt idx="13">
                  <c:v>772.3</c:v>
                </c:pt>
                <c:pt idx="14">
                  <c:v>779.4</c:v>
                </c:pt>
                <c:pt idx="15">
                  <c:v>771.7</c:v>
                </c:pt>
                <c:pt idx="16">
                  <c:v>771.7</c:v>
                </c:pt>
                <c:pt idx="17">
                  <c:v>779</c:v>
                </c:pt>
                <c:pt idx="18">
                  <c:v>782.55</c:v>
                </c:pt>
                <c:pt idx="19">
                  <c:v>789.8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Comparison!$E$1</c:f>
              <c:strCache>
                <c:ptCount val="1"/>
                <c:pt idx="0">
                  <c:v>INFY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Comparison!$E$2:$E$21</c:f>
              <c:numCache>
                <c:formatCode>General</c:formatCode>
                <c:ptCount val="20"/>
                <c:pt idx="0">
                  <c:v>1174.5</c:v>
                </c:pt>
                <c:pt idx="1">
                  <c:v>1181.2</c:v>
                </c:pt>
                <c:pt idx="2">
                  <c:v>1193.7</c:v>
                </c:pt>
                <c:pt idx="3">
                  <c:v>1196.9000000000001</c:v>
                </c:pt>
                <c:pt idx="4">
                  <c:v>1142.5</c:v>
                </c:pt>
                <c:pt idx="5">
                  <c:v>1119</c:v>
                </c:pt>
                <c:pt idx="6">
                  <c:v>1095</c:v>
                </c:pt>
                <c:pt idx="7">
                  <c:v>1123.0999999999999</c:v>
                </c:pt>
                <c:pt idx="8">
                  <c:v>1140.3</c:v>
                </c:pt>
                <c:pt idx="9">
                  <c:v>1177</c:v>
                </c:pt>
                <c:pt idx="10">
                  <c:v>1179.2</c:v>
                </c:pt>
                <c:pt idx="11">
                  <c:v>1162.7</c:v>
                </c:pt>
                <c:pt idx="12">
                  <c:v>1167.2</c:v>
                </c:pt>
                <c:pt idx="13">
                  <c:v>1178.0999999999999</c:v>
                </c:pt>
                <c:pt idx="14">
                  <c:v>1168.4000000000001</c:v>
                </c:pt>
                <c:pt idx="15">
                  <c:v>1181.8</c:v>
                </c:pt>
                <c:pt idx="16">
                  <c:v>1181.8</c:v>
                </c:pt>
                <c:pt idx="17">
                  <c:v>1167.5</c:v>
                </c:pt>
                <c:pt idx="18">
                  <c:v>1152.0999999999999</c:v>
                </c:pt>
                <c:pt idx="19">
                  <c:v>1170.3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Comparison!$F$1</c:f>
              <c:strCache>
                <c:ptCount val="1"/>
                <c:pt idx="0">
                  <c:v>Wipro</c:v>
                </c:pt>
              </c:strCache>
            </c:strRef>
          </c:tx>
          <c:spPr>
            <a:ln w="3810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Comparison!$A$2:$A$21</c:f>
              <c:strCache>
                <c:ptCount val="20"/>
                <c:pt idx="0">
                  <c:v>May 22, 2026</c:v>
                </c:pt>
                <c:pt idx="1">
                  <c:v>May 21, 2026</c:v>
                </c:pt>
                <c:pt idx="2">
                  <c:v>May 20, 2026</c:v>
                </c:pt>
                <c:pt idx="3">
                  <c:v>May 19, 2026</c:v>
                </c:pt>
                <c:pt idx="4">
                  <c:v>May 18, 2026</c:v>
                </c:pt>
                <c:pt idx="5">
                  <c:v>May 15, 2026</c:v>
                </c:pt>
                <c:pt idx="6">
                  <c:v>May 14, 2026</c:v>
                </c:pt>
                <c:pt idx="7">
                  <c:v>May 13, 2026</c:v>
                </c:pt>
                <c:pt idx="8">
                  <c:v>May 12, 2026</c:v>
                </c:pt>
                <c:pt idx="9">
                  <c:v>May 11, 2026</c:v>
                </c:pt>
                <c:pt idx="10">
                  <c:v>May 8, 2026</c:v>
                </c:pt>
                <c:pt idx="11">
                  <c:v>May 7, 2026</c:v>
                </c:pt>
                <c:pt idx="12">
                  <c:v>May 6, 2026</c:v>
                </c:pt>
                <c:pt idx="13">
                  <c:v>May 5, 2026</c:v>
                </c:pt>
                <c:pt idx="14">
                  <c:v>May 4, 2026</c:v>
                </c:pt>
                <c:pt idx="15">
                  <c:v>May 1, 2026</c:v>
                </c:pt>
                <c:pt idx="16">
                  <c:v>Apr 30, 2026</c:v>
                </c:pt>
                <c:pt idx="17">
                  <c:v>Apr 29, 2026</c:v>
                </c:pt>
                <c:pt idx="18">
                  <c:v>Apr 28, 2026</c:v>
                </c:pt>
                <c:pt idx="19">
                  <c:v>Apr 27, 2026</c:v>
                </c:pt>
              </c:strCache>
            </c:strRef>
          </c:cat>
          <c:val>
            <c:numRef>
              <c:f>Comparison!$F$2:$F$21</c:f>
              <c:numCache>
                <c:formatCode>General</c:formatCode>
                <c:ptCount val="20"/>
                <c:pt idx="0">
                  <c:v>203.11</c:v>
                </c:pt>
                <c:pt idx="1">
                  <c:v>199.74</c:v>
                </c:pt>
                <c:pt idx="2">
                  <c:v>197.12</c:v>
                </c:pt>
                <c:pt idx="3">
                  <c:v>195.17</c:v>
                </c:pt>
                <c:pt idx="4">
                  <c:v>192.17</c:v>
                </c:pt>
                <c:pt idx="5">
                  <c:v>190</c:v>
                </c:pt>
                <c:pt idx="6">
                  <c:v>188.3</c:v>
                </c:pt>
                <c:pt idx="7">
                  <c:v>187.8</c:v>
                </c:pt>
                <c:pt idx="8">
                  <c:v>189.57</c:v>
                </c:pt>
                <c:pt idx="9">
                  <c:v>196.68</c:v>
                </c:pt>
                <c:pt idx="10">
                  <c:v>197.91</c:v>
                </c:pt>
                <c:pt idx="11">
                  <c:v>197.36</c:v>
                </c:pt>
                <c:pt idx="12">
                  <c:v>199.12</c:v>
                </c:pt>
                <c:pt idx="13">
                  <c:v>199.78</c:v>
                </c:pt>
                <c:pt idx="14">
                  <c:v>200.75</c:v>
                </c:pt>
                <c:pt idx="15">
                  <c:v>200.65</c:v>
                </c:pt>
                <c:pt idx="16">
                  <c:v>200.65</c:v>
                </c:pt>
                <c:pt idx="17">
                  <c:v>200.68</c:v>
                </c:pt>
                <c:pt idx="18">
                  <c:v>201.58</c:v>
                </c:pt>
                <c:pt idx="19">
                  <c:v>205.05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2377784"/>
        <c:axId val="432375040"/>
      </c:lineChart>
      <c:catAx>
        <c:axId val="432377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75040"/>
        <c:crosses val="autoZero"/>
        <c:auto val="1"/>
        <c:lblAlgn val="ctr"/>
        <c:lblOffset val="100"/>
        <c:noMultiLvlLbl val="0"/>
      </c:catAx>
      <c:valAx>
        <c:axId val="43237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Closing</a:t>
                </a:r>
                <a:r>
                  <a:rPr lang="en-IN" baseline="0"/>
                  <a:t> Price (inr)</a:t>
                </a:r>
                <a:endParaRPr lang="en-IN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7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9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609600" y="3253741"/>
    <xdr:ext cx="5562600" cy="394716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400" cy="629073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activeCell="D25" sqref="D25"/>
    </sheetView>
  </sheetViews>
  <sheetFormatPr defaultRowHeight="14.4" x14ac:dyDescent="0.3"/>
  <cols>
    <col min="1" max="1" width="11.88671875" bestFit="1" customWidth="1"/>
  </cols>
  <sheetData>
    <row r="1" spans="1:6" s="3" customFormat="1" x14ac:dyDescent="0.3">
      <c r="A1" s="4" t="s">
        <v>0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</row>
    <row r="2" spans="1:6" x14ac:dyDescent="0.3">
      <c r="A2" t="str">
        <f>Reliance!A2</f>
        <v>May 22, 2026</v>
      </c>
      <c r="B2">
        <f>VLOOKUP(A2,Reliance!$A:$F, 5,0)</f>
        <v>1354.5</v>
      </c>
      <c r="C2">
        <f>VLOOKUP($A2, TCS!$A:$F,5,0)</f>
        <v>2317.3000000000002</v>
      </c>
      <c r="D2">
        <f>VLOOKUP($A2,HDFC!$A:$F,5,0)</f>
        <v>766.8</v>
      </c>
      <c r="E2">
        <f>VLOOKUP($A2,INFY!$A:$F,5,0)</f>
        <v>1174.5</v>
      </c>
      <c r="F2">
        <f>VLOOKUP($A2,WIPRO!$A:$F,5,0)</f>
        <v>203.11</v>
      </c>
    </row>
    <row r="3" spans="1:6" x14ac:dyDescent="0.3">
      <c r="A3" t="str">
        <f>Reliance!A3</f>
        <v>May 21, 2026</v>
      </c>
      <c r="B3">
        <f>VLOOKUP(A3,Reliance!$A:$F, 5,0)</f>
        <v>1349.6</v>
      </c>
      <c r="C3">
        <f>VLOOKUP($A3, TCS!$A:$F,5,0)</f>
        <v>2327.1999999999998</v>
      </c>
      <c r="D3">
        <f>VLOOKUP($A3,HDFC!$A:$F,5,0)</f>
        <v>759.15</v>
      </c>
      <c r="E3">
        <f>VLOOKUP($A3,INFY!$A:$F,5,0)</f>
        <v>1181.2</v>
      </c>
      <c r="F3">
        <f>VLOOKUP($A3,WIPRO!$A:$F,5,0)</f>
        <v>199.74</v>
      </c>
    </row>
    <row r="4" spans="1:6" x14ac:dyDescent="0.3">
      <c r="A4" t="str">
        <f>Reliance!A4</f>
        <v>May 20, 2026</v>
      </c>
      <c r="B4">
        <f>VLOOKUP(A4,Reliance!$A:$F, 5,0)</f>
        <v>1359.7</v>
      </c>
      <c r="C4">
        <f>VLOOKUP($A4, TCS!$A:$F,5,0)</f>
        <v>2327.4</v>
      </c>
      <c r="D4">
        <f>VLOOKUP($A4,HDFC!$A:$F,5,0)</f>
        <v>759.5</v>
      </c>
      <c r="E4">
        <f>VLOOKUP($A4,INFY!$A:$F,5,0)</f>
        <v>1193.7</v>
      </c>
      <c r="F4">
        <f>VLOOKUP($A4,WIPRO!$A:$F,5,0)</f>
        <v>197.12</v>
      </c>
    </row>
    <row r="5" spans="1:6" x14ac:dyDescent="0.3">
      <c r="A5" t="str">
        <f>Reliance!A5</f>
        <v>May 19, 2026</v>
      </c>
      <c r="B5">
        <f>VLOOKUP(A5,Reliance!$A:$F, 5,0)</f>
        <v>1322.7</v>
      </c>
      <c r="C5">
        <f>VLOOKUP($A5, TCS!$A:$F,5,0)</f>
        <v>2327.1</v>
      </c>
      <c r="D5">
        <f>VLOOKUP($A5,HDFC!$A:$F,5,0)</f>
        <v>762.45</v>
      </c>
      <c r="E5">
        <f>VLOOKUP($A5,INFY!$A:$F,5,0)</f>
        <v>1196.9000000000001</v>
      </c>
      <c r="F5">
        <f>VLOOKUP($A5,WIPRO!$A:$F,5,0)</f>
        <v>195.17</v>
      </c>
    </row>
    <row r="6" spans="1:6" x14ac:dyDescent="0.3">
      <c r="A6" t="str">
        <f>Reliance!A6</f>
        <v>May 18, 2026</v>
      </c>
      <c r="B6">
        <f>VLOOKUP(A6,Reliance!$A:$F, 5,0)</f>
        <v>1335.9</v>
      </c>
      <c r="C6">
        <f>VLOOKUP($A6, TCS!$A:$F,5,0)</f>
        <v>2283.1999999999998</v>
      </c>
      <c r="D6">
        <f>VLOOKUP($A6,HDFC!$A:$F,5,0)</f>
        <v>768.65</v>
      </c>
      <c r="E6">
        <f>VLOOKUP($A6,INFY!$A:$F,5,0)</f>
        <v>1142.5</v>
      </c>
      <c r="F6">
        <f>VLOOKUP($A6,WIPRO!$A:$F,5,0)</f>
        <v>192.17</v>
      </c>
    </row>
    <row r="7" spans="1:6" x14ac:dyDescent="0.3">
      <c r="A7" t="str">
        <f>Reliance!A7</f>
        <v>May 15, 2026</v>
      </c>
      <c r="B7">
        <f>VLOOKUP(A7,Reliance!$A:$F, 5,0)</f>
        <v>1336.4</v>
      </c>
      <c r="C7">
        <f>VLOOKUP($A7, TCS!$A:$F,5,0)</f>
        <v>2264</v>
      </c>
      <c r="D7">
        <f>VLOOKUP($A7,HDFC!$A:$F,5,0)</f>
        <v>767.5</v>
      </c>
      <c r="E7">
        <f>VLOOKUP($A7,INFY!$A:$F,5,0)</f>
        <v>1119</v>
      </c>
      <c r="F7">
        <f>VLOOKUP($A7,WIPRO!$A:$F,5,0)</f>
        <v>190</v>
      </c>
    </row>
    <row r="8" spans="1:6" x14ac:dyDescent="0.3">
      <c r="A8" t="str">
        <f>Reliance!A8</f>
        <v>May 14, 2026</v>
      </c>
      <c r="B8">
        <f>VLOOKUP(A8,Reliance!$A:$F, 5,0)</f>
        <v>1361.8</v>
      </c>
      <c r="C8">
        <f>VLOOKUP($A8, TCS!$A:$F,5,0)</f>
        <v>2246</v>
      </c>
      <c r="D8">
        <f>VLOOKUP($A8,HDFC!$A:$F,5,0)</f>
        <v>769.55</v>
      </c>
      <c r="E8">
        <f>VLOOKUP($A8,INFY!$A:$F,5,0)</f>
        <v>1095</v>
      </c>
      <c r="F8">
        <f>VLOOKUP($A8,WIPRO!$A:$F,5,0)</f>
        <v>188.3</v>
      </c>
    </row>
    <row r="9" spans="1:6" x14ac:dyDescent="0.3">
      <c r="A9" t="str">
        <f>Reliance!A9</f>
        <v>May 13, 2026</v>
      </c>
      <c r="B9">
        <f>VLOOKUP(A9,Reliance!$A:$F, 5,0)</f>
        <v>1358.8</v>
      </c>
      <c r="C9">
        <f>VLOOKUP($A9, TCS!$A:$F,5,0)</f>
        <v>2272.8000000000002</v>
      </c>
      <c r="D9">
        <f>VLOOKUP($A9,HDFC!$A:$F,5,0)</f>
        <v>749.6</v>
      </c>
      <c r="E9">
        <f>VLOOKUP($A9,INFY!$A:$F,5,0)</f>
        <v>1123.0999999999999</v>
      </c>
      <c r="F9">
        <f>VLOOKUP($A9,WIPRO!$A:$F,5,0)</f>
        <v>187.8</v>
      </c>
    </row>
    <row r="10" spans="1:6" x14ac:dyDescent="0.3">
      <c r="A10" t="str">
        <f>Reliance!A10</f>
        <v>May 12, 2026</v>
      </c>
      <c r="B10">
        <f>VLOOKUP(A10,Reliance!$A:$F, 5,0)</f>
        <v>1364</v>
      </c>
      <c r="C10">
        <f>VLOOKUP($A10, TCS!$A:$F,5,0)</f>
        <v>2300.3000000000002</v>
      </c>
      <c r="D10">
        <f>VLOOKUP($A10,HDFC!$A:$F,5,0)</f>
        <v>750.45</v>
      </c>
      <c r="E10">
        <f>VLOOKUP($A10,INFY!$A:$F,5,0)</f>
        <v>1140.3</v>
      </c>
      <c r="F10">
        <f>VLOOKUP($A10,WIPRO!$A:$F,5,0)</f>
        <v>189.57</v>
      </c>
    </row>
    <row r="11" spans="1:6" x14ac:dyDescent="0.3">
      <c r="A11" t="str">
        <f>Reliance!A11</f>
        <v>May 11, 2026</v>
      </c>
      <c r="B11">
        <f>VLOOKUP(A11,Reliance!$A:$F, 5,0)</f>
        <v>1388.2</v>
      </c>
      <c r="C11">
        <f>VLOOKUP($A11, TCS!$A:$F,5,0)</f>
        <v>2392.9</v>
      </c>
      <c r="D11">
        <f>VLOOKUP($A11,HDFC!$A:$F,5,0)</f>
        <v>763.65</v>
      </c>
      <c r="E11">
        <f>VLOOKUP($A11,INFY!$A:$F,5,0)</f>
        <v>1177</v>
      </c>
      <c r="F11">
        <f>VLOOKUP($A11,WIPRO!$A:$F,5,0)</f>
        <v>196.68</v>
      </c>
    </row>
    <row r="12" spans="1:6" x14ac:dyDescent="0.3">
      <c r="A12" t="str">
        <f>Reliance!A12</f>
        <v>May 8, 2026</v>
      </c>
      <c r="B12">
        <f>VLOOKUP(A12,Reliance!$A:$F, 5,0)</f>
        <v>1435.2</v>
      </c>
      <c r="C12">
        <f>VLOOKUP($A12, TCS!$A:$F,5,0)</f>
        <v>2394.4</v>
      </c>
      <c r="D12">
        <f>VLOOKUP($A12,HDFC!$A:$F,5,0)</f>
        <v>780.85</v>
      </c>
      <c r="E12">
        <f>VLOOKUP($A12,INFY!$A:$F,5,0)</f>
        <v>1179.2</v>
      </c>
      <c r="F12">
        <f>VLOOKUP($A12,WIPRO!$A:$F,5,0)</f>
        <v>197.91</v>
      </c>
    </row>
    <row r="13" spans="1:6" x14ac:dyDescent="0.3">
      <c r="A13" t="str">
        <f>Reliance!A13</f>
        <v>May 7, 2026</v>
      </c>
      <c r="B13">
        <f>VLOOKUP(A13,Reliance!$A:$F, 5,0)</f>
        <v>1436.2</v>
      </c>
      <c r="C13">
        <f>VLOOKUP($A13, TCS!$A:$F,5,0)</f>
        <v>2401.4</v>
      </c>
      <c r="D13">
        <f>VLOOKUP($A13,HDFC!$A:$F,5,0)</f>
        <v>796.05</v>
      </c>
      <c r="E13">
        <f>VLOOKUP($A13,INFY!$A:$F,5,0)</f>
        <v>1162.7</v>
      </c>
      <c r="F13">
        <f>VLOOKUP($A13,WIPRO!$A:$F,5,0)</f>
        <v>197.36</v>
      </c>
    </row>
    <row r="14" spans="1:6" x14ac:dyDescent="0.3">
      <c r="A14" t="str">
        <f>Reliance!A14</f>
        <v>May 6, 2026</v>
      </c>
      <c r="B14">
        <f>VLOOKUP(A14,Reliance!$A:$F, 5,0)</f>
        <v>1437.9</v>
      </c>
      <c r="C14">
        <f>VLOOKUP($A14, TCS!$A:$F,5,0)</f>
        <v>2435.4</v>
      </c>
      <c r="D14">
        <f>VLOOKUP($A14,HDFC!$A:$F,5,0)</f>
        <v>796.55</v>
      </c>
      <c r="E14">
        <f>VLOOKUP($A14,INFY!$A:$F,5,0)</f>
        <v>1167.2</v>
      </c>
      <c r="F14">
        <f>VLOOKUP($A14,WIPRO!$A:$F,5,0)</f>
        <v>199.12</v>
      </c>
    </row>
    <row r="15" spans="1:6" x14ac:dyDescent="0.3">
      <c r="A15" t="str">
        <f>Reliance!A15</f>
        <v>May 5, 2026</v>
      </c>
      <c r="B15">
        <f>VLOOKUP(A15,Reliance!$A:$F, 5,0)</f>
        <v>1463.6</v>
      </c>
      <c r="C15">
        <f>VLOOKUP($A15, TCS!$A:$F,5,0)</f>
        <v>2427.3000000000002</v>
      </c>
      <c r="D15">
        <f>VLOOKUP($A15,HDFC!$A:$F,5,0)</f>
        <v>772.3</v>
      </c>
      <c r="E15">
        <f>VLOOKUP($A15,INFY!$A:$F,5,0)</f>
        <v>1178.0999999999999</v>
      </c>
      <c r="F15">
        <f>VLOOKUP($A15,WIPRO!$A:$F,5,0)</f>
        <v>199.78</v>
      </c>
    </row>
    <row r="16" spans="1:6" x14ac:dyDescent="0.3">
      <c r="A16" t="str">
        <f>Reliance!A16</f>
        <v>May 4, 2026</v>
      </c>
      <c r="B16">
        <f>VLOOKUP(A16,Reliance!$A:$F, 5,0)</f>
        <v>1463.1</v>
      </c>
      <c r="C16">
        <f>VLOOKUP($A16, TCS!$A:$F,5,0)</f>
        <v>2431.3000000000002</v>
      </c>
      <c r="D16">
        <f>VLOOKUP($A16,HDFC!$A:$F,5,0)</f>
        <v>779.4</v>
      </c>
      <c r="E16">
        <f>VLOOKUP($A16,INFY!$A:$F,5,0)</f>
        <v>1168.4000000000001</v>
      </c>
      <c r="F16">
        <f>VLOOKUP($A16,WIPRO!$A:$F,5,0)</f>
        <v>200.75</v>
      </c>
    </row>
    <row r="17" spans="1:6" x14ac:dyDescent="0.3">
      <c r="A17" t="str">
        <f>Reliance!A17</f>
        <v>May 1, 2026</v>
      </c>
      <c r="B17">
        <f>VLOOKUP(A17,Reliance!$A:$F, 5,0)</f>
        <v>1430.8</v>
      </c>
      <c r="C17">
        <f>VLOOKUP($A17, TCS!$A:$F,5,0)</f>
        <v>2473.9</v>
      </c>
      <c r="D17">
        <f>VLOOKUP($A17,HDFC!$A:$F,5,0)</f>
        <v>771.7</v>
      </c>
      <c r="E17">
        <f>VLOOKUP($A17,INFY!$A:$F,5,0)</f>
        <v>1181.8</v>
      </c>
      <c r="F17">
        <f>VLOOKUP($A17,WIPRO!$A:$F,5,0)</f>
        <v>200.65</v>
      </c>
    </row>
    <row r="18" spans="1:6" x14ac:dyDescent="0.3">
      <c r="A18" t="str">
        <f>Reliance!A18</f>
        <v>Apr 30, 2026</v>
      </c>
      <c r="B18">
        <f>VLOOKUP(A18,Reliance!$A:$F, 5,0)</f>
        <v>1430.8</v>
      </c>
      <c r="C18">
        <f>VLOOKUP($A18, TCS!$A:$F,5,0)</f>
        <v>2473.9</v>
      </c>
      <c r="D18">
        <f>VLOOKUP($A18,HDFC!$A:$F,5,0)</f>
        <v>771.7</v>
      </c>
      <c r="E18">
        <f>VLOOKUP($A18,INFY!$A:$F,5,0)</f>
        <v>1181.8</v>
      </c>
      <c r="F18">
        <f>VLOOKUP($A18,WIPRO!$A:$F,5,0)</f>
        <v>200.65</v>
      </c>
    </row>
    <row r="19" spans="1:6" x14ac:dyDescent="0.3">
      <c r="A19" t="str">
        <f>Reliance!A19</f>
        <v>Apr 29, 2026</v>
      </c>
      <c r="B19">
        <f>VLOOKUP(A19,Reliance!$A:$F, 5,0)</f>
        <v>1425.4</v>
      </c>
      <c r="C19">
        <f>VLOOKUP($A19, TCS!$A:$F,5,0)</f>
        <v>2474.6999999999998</v>
      </c>
      <c r="D19">
        <f>VLOOKUP($A19,HDFC!$A:$F,5,0)</f>
        <v>779</v>
      </c>
      <c r="E19">
        <f>VLOOKUP($A19,INFY!$A:$F,5,0)</f>
        <v>1167.5</v>
      </c>
      <c r="F19">
        <f>VLOOKUP($A19,WIPRO!$A:$F,5,0)</f>
        <v>200.68</v>
      </c>
    </row>
    <row r="20" spans="1:6" x14ac:dyDescent="0.3">
      <c r="A20" t="str">
        <f>Reliance!A20</f>
        <v>Apr 28, 2026</v>
      </c>
      <c r="B20">
        <f>VLOOKUP(A20,Reliance!$A:$F, 5,0)</f>
        <v>1388.9</v>
      </c>
      <c r="C20">
        <f>VLOOKUP($A20, TCS!$A:$F,5,0)</f>
        <v>2444.6999999999998</v>
      </c>
      <c r="D20">
        <f>VLOOKUP($A20,HDFC!$A:$F,5,0)</f>
        <v>782.55</v>
      </c>
      <c r="E20">
        <f>VLOOKUP($A20,INFY!$A:$F,5,0)</f>
        <v>1152.0999999999999</v>
      </c>
      <c r="F20">
        <f>VLOOKUP($A20,WIPRO!$A:$F,5,0)</f>
        <v>201.58</v>
      </c>
    </row>
    <row r="21" spans="1:6" x14ac:dyDescent="0.3">
      <c r="A21" t="str">
        <f>Reliance!A21</f>
        <v>Apr 27, 2026</v>
      </c>
      <c r="B21">
        <f>VLOOKUP(A21,Reliance!$A:$F, 5,0)</f>
        <v>1365.8</v>
      </c>
      <c r="C21">
        <f>VLOOKUP($A21, TCS!$A:$F,5,0)</f>
        <v>2447.6</v>
      </c>
      <c r="D21">
        <f>VLOOKUP($A21,HDFC!$A:$F,5,0)</f>
        <v>789.8</v>
      </c>
      <c r="E21">
        <f>VLOOKUP($A21,INFY!$A:$F,5,0)</f>
        <v>1170.3</v>
      </c>
      <c r="F21">
        <f>VLOOKUP($A21,WIPRO!$A:$F,5,0)</f>
        <v>205.05</v>
      </c>
    </row>
    <row r="24" spans="1:6" x14ac:dyDescent="0.3">
      <c r="A24" s="3" t="s">
        <v>35</v>
      </c>
    </row>
    <row r="25" spans="1:6" x14ac:dyDescent="0.3">
      <c r="A25" s="3" t="s">
        <v>36</v>
      </c>
      <c r="B25" s="3" t="s">
        <v>37</v>
      </c>
      <c r="C25" s="3" t="s">
        <v>31</v>
      </c>
      <c r="D25" s="3" t="s">
        <v>32</v>
      </c>
      <c r="E25" s="3" t="s">
        <v>33</v>
      </c>
      <c r="F25" s="3" t="s">
        <v>38</v>
      </c>
    </row>
    <row r="26" spans="1:6" x14ac:dyDescent="0.3">
      <c r="A26" s="5" t="s">
        <v>39</v>
      </c>
      <c r="B26" s="6">
        <f>MAX(B2:B21)</f>
        <v>1463.6</v>
      </c>
      <c r="C26" s="6">
        <f>MAX(C2:C21)</f>
        <v>2474.6999999999998</v>
      </c>
      <c r="D26" s="6">
        <f>MAX(D2:D21)</f>
        <v>796.55</v>
      </c>
      <c r="E26" s="6">
        <f>MAX(E2:E21)</f>
        <v>1196.9000000000001</v>
      </c>
      <c r="F26" s="6">
        <f>MAX(F2:F21)</f>
        <v>205.05</v>
      </c>
    </row>
    <row r="27" spans="1:6" x14ac:dyDescent="0.3">
      <c r="A27" s="7" t="s">
        <v>40</v>
      </c>
      <c r="B27" s="8">
        <f>MIN(B2:B21)</f>
        <v>1322.7</v>
      </c>
      <c r="C27" s="8">
        <f t="shared" ref="C27:F27" si="0">MIN(C2:C21)</f>
        <v>2246</v>
      </c>
      <c r="D27" s="8">
        <f t="shared" si="0"/>
        <v>749.6</v>
      </c>
      <c r="E27" s="8">
        <f t="shared" si="0"/>
        <v>1095</v>
      </c>
      <c r="F27" s="8">
        <f t="shared" si="0"/>
        <v>187.8</v>
      </c>
    </row>
    <row r="28" spans="1:6" x14ac:dyDescent="0.3">
      <c r="A28" s="9" t="s">
        <v>41</v>
      </c>
      <c r="B28" s="10">
        <f>AVERAGE(B2:B21)</f>
        <v>1390.4649999999999</v>
      </c>
      <c r="C28" s="10">
        <f t="shared" ref="C28:F28" si="1">AVERAGE(C2:C21)</f>
        <v>2373.1400000000003</v>
      </c>
      <c r="D28" s="10">
        <f t="shared" si="1"/>
        <v>771.8599999999999</v>
      </c>
      <c r="E28" s="10">
        <f t="shared" si="1"/>
        <v>1162.615</v>
      </c>
      <c r="F28" s="10">
        <f t="shared" si="1"/>
        <v>197.15950000000001</v>
      </c>
    </row>
    <row r="29" spans="1:6" x14ac:dyDescent="0.3">
      <c r="A29" s="3" t="s">
        <v>42</v>
      </c>
      <c r="B29">
        <f>B2-B21</f>
        <v>-11.299999999999955</v>
      </c>
      <c r="C29">
        <f t="shared" ref="C29:F29" si="2">C2-C21</f>
        <v>-130.29999999999973</v>
      </c>
      <c r="D29">
        <f t="shared" si="2"/>
        <v>-23</v>
      </c>
      <c r="E29">
        <f t="shared" si="2"/>
        <v>4.2000000000000455</v>
      </c>
      <c r="F29">
        <f t="shared" si="2"/>
        <v>-1.9399999999999977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H6" sqref="H6"/>
    </sheetView>
  </sheetViews>
  <sheetFormatPr defaultRowHeight="14.4" x14ac:dyDescent="0.3"/>
  <cols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1350</v>
      </c>
      <c r="C2" s="1">
        <v>1367.4</v>
      </c>
      <c r="D2" s="1">
        <v>1349.1</v>
      </c>
      <c r="E2" s="1">
        <v>1354.5</v>
      </c>
      <c r="F2" s="1">
        <v>1354.5</v>
      </c>
      <c r="G2" s="2">
        <v>7105813</v>
      </c>
    </row>
    <row r="3" spans="1:7" x14ac:dyDescent="0.3">
      <c r="A3" t="s">
        <v>8</v>
      </c>
      <c r="B3" s="1">
        <v>1367.2</v>
      </c>
      <c r="C3" s="1">
        <v>1370.9</v>
      </c>
      <c r="D3" s="1">
        <v>1345.2</v>
      </c>
      <c r="E3" s="1">
        <v>1349.6</v>
      </c>
      <c r="F3" s="1">
        <v>1349.6</v>
      </c>
      <c r="G3" s="2">
        <v>17150630</v>
      </c>
    </row>
    <row r="4" spans="1:7" x14ac:dyDescent="0.3">
      <c r="A4" t="s">
        <v>9</v>
      </c>
      <c r="B4" s="1">
        <v>1318.7</v>
      </c>
      <c r="C4" s="1">
        <v>1362.9</v>
      </c>
      <c r="D4" s="1">
        <v>1312.6</v>
      </c>
      <c r="E4" s="1">
        <v>1359.7</v>
      </c>
      <c r="F4" s="1">
        <v>1359.7</v>
      </c>
      <c r="G4" s="2">
        <v>13248515</v>
      </c>
    </row>
    <row r="5" spans="1:7" x14ac:dyDescent="0.3">
      <c r="A5" t="s">
        <v>10</v>
      </c>
      <c r="B5" s="1">
        <v>1338.7</v>
      </c>
      <c r="C5" s="1">
        <v>1344</v>
      </c>
      <c r="D5" s="1">
        <v>1318.4</v>
      </c>
      <c r="E5" s="1">
        <v>1322.7</v>
      </c>
      <c r="F5" s="1">
        <v>1322.7</v>
      </c>
      <c r="G5" s="2">
        <v>21665501</v>
      </c>
    </row>
    <row r="6" spans="1:7" x14ac:dyDescent="0.3">
      <c r="A6" t="s">
        <v>11</v>
      </c>
      <c r="B6" s="1">
        <v>1334</v>
      </c>
      <c r="C6" s="1">
        <v>1342</v>
      </c>
      <c r="D6" s="1">
        <v>1318.7</v>
      </c>
      <c r="E6" s="1">
        <v>1335.9</v>
      </c>
      <c r="F6" s="1">
        <v>1335.9</v>
      </c>
      <c r="G6" s="2">
        <v>13022473</v>
      </c>
    </row>
    <row r="7" spans="1:7" x14ac:dyDescent="0.3">
      <c r="A7" t="s">
        <v>12</v>
      </c>
      <c r="B7" s="1">
        <v>1356.8</v>
      </c>
      <c r="C7" s="1">
        <v>1364.8</v>
      </c>
      <c r="D7" s="1">
        <v>1329.2</v>
      </c>
      <c r="E7" s="1">
        <v>1336.4</v>
      </c>
      <c r="F7" s="1">
        <v>1336.4</v>
      </c>
      <c r="G7" s="2">
        <v>19976192</v>
      </c>
    </row>
    <row r="8" spans="1:7" x14ac:dyDescent="0.3">
      <c r="A8" t="s">
        <v>13</v>
      </c>
      <c r="B8" s="1">
        <v>1365.2</v>
      </c>
      <c r="C8" s="1">
        <v>1378</v>
      </c>
      <c r="D8" s="1">
        <v>1358.4</v>
      </c>
      <c r="E8" s="1">
        <v>1361.8</v>
      </c>
      <c r="F8" s="1">
        <v>1361.8</v>
      </c>
      <c r="G8" s="2">
        <v>17303059</v>
      </c>
    </row>
    <row r="9" spans="1:7" x14ac:dyDescent="0.3">
      <c r="A9" t="s">
        <v>14</v>
      </c>
      <c r="B9" s="1">
        <v>1361.4</v>
      </c>
      <c r="C9" s="1">
        <v>1372.4</v>
      </c>
      <c r="D9" s="1">
        <v>1352.4</v>
      </c>
      <c r="E9" s="1">
        <v>1358.8</v>
      </c>
      <c r="F9" s="1">
        <v>1358.8</v>
      </c>
      <c r="G9" s="2">
        <v>13797989</v>
      </c>
    </row>
    <row r="10" spans="1:7" x14ac:dyDescent="0.3">
      <c r="A10" t="s">
        <v>15</v>
      </c>
      <c r="B10" s="1">
        <v>1392</v>
      </c>
      <c r="C10" s="1">
        <v>1393.5</v>
      </c>
      <c r="D10" s="1">
        <v>1360.3</v>
      </c>
      <c r="E10" s="1">
        <v>1364</v>
      </c>
      <c r="F10" s="1">
        <v>1364</v>
      </c>
      <c r="G10" s="2">
        <v>24357500</v>
      </c>
    </row>
    <row r="11" spans="1:7" x14ac:dyDescent="0.3">
      <c r="A11" t="s">
        <v>16</v>
      </c>
      <c r="B11" s="1">
        <v>1420</v>
      </c>
      <c r="C11" s="1">
        <v>1428</v>
      </c>
      <c r="D11" s="1">
        <v>1382</v>
      </c>
      <c r="E11" s="1">
        <v>1388.2</v>
      </c>
      <c r="F11" s="1">
        <v>1388.2</v>
      </c>
      <c r="G11" s="2">
        <v>15261787</v>
      </c>
    </row>
    <row r="12" spans="1:7" x14ac:dyDescent="0.3">
      <c r="A12" t="s">
        <v>17</v>
      </c>
      <c r="B12" s="1">
        <v>1426</v>
      </c>
      <c r="C12" s="1">
        <v>1442.8</v>
      </c>
      <c r="D12" s="1">
        <v>1417.5</v>
      </c>
      <c r="E12" s="1">
        <v>1435.2</v>
      </c>
      <c r="F12" s="1">
        <v>1435.2</v>
      </c>
      <c r="G12" s="2">
        <v>8663105</v>
      </c>
    </row>
    <row r="13" spans="1:7" x14ac:dyDescent="0.3">
      <c r="A13" t="s">
        <v>18</v>
      </c>
      <c r="B13" s="1">
        <v>1438.8</v>
      </c>
      <c r="C13" s="1">
        <v>1449.5</v>
      </c>
      <c r="D13" s="1">
        <v>1430.3</v>
      </c>
      <c r="E13" s="1">
        <v>1436.2</v>
      </c>
      <c r="F13" s="1">
        <v>1436.2</v>
      </c>
      <c r="G13" s="2">
        <v>19816903</v>
      </c>
    </row>
    <row r="14" spans="1:7" x14ac:dyDescent="0.3">
      <c r="A14" t="s">
        <v>19</v>
      </c>
      <c r="B14" s="1">
        <v>1463</v>
      </c>
      <c r="C14" s="1">
        <v>1473.3</v>
      </c>
      <c r="D14" s="1">
        <v>1427.5</v>
      </c>
      <c r="E14" s="1">
        <v>1437.9</v>
      </c>
      <c r="F14" s="1">
        <v>1437.9</v>
      </c>
      <c r="G14" s="2">
        <v>14221786</v>
      </c>
    </row>
    <row r="15" spans="1:7" x14ac:dyDescent="0.3">
      <c r="A15" t="s">
        <v>20</v>
      </c>
      <c r="B15" s="1">
        <v>1460</v>
      </c>
      <c r="C15" s="1">
        <v>1473.4</v>
      </c>
      <c r="D15" s="1">
        <v>1450</v>
      </c>
      <c r="E15" s="1">
        <v>1463.6</v>
      </c>
      <c r="F15" s="1">
        <v>1463.6</v>
      </c>
      <c r="G15" s="2">
        <v>23543341</v>
      </c>
    </row>
    <row r="16" spans="1:7" x14ac:dyDescent="0.3">
      <c r="A16" t="s">
        <v>21</v>
      </c>
      <c r="B16" s="1">
        <v>1433.4</v>
      </c>
      <c r="C16" s="1">
        <v>1467.4</v>
      </c>
      <c r="D16" s="1">
        <v>1433.4</v>
      </c>
      <c r="E16" s="1">
        <v>1463.1</v>
      </c>
      <c r="F16" s="1">
        <v>1463.1</v>
      </c>
      <c r="G16" s="2">
        <v>24035700</v>
      </c>
    </row>
    <row r="17" spans="1:7" x14ac:dyDescent="0.3">
      <c r="A17" t="s">
        <v>22</v>
      </c>
      <c r="B17" s="1">
        <v>1430.8</v>
      </c>
      <c r="C17" s="1">
        <v>1430.8</v>
      </c>
      <c r="D17" s="1">
        <v>1430.8</v>
      </c>
      <c r="E17" s="1">
        <v>1430.8</v>
      </c>
      <c r="F17" s="1">
        <v>1430.8</v>
      </c>
      <c r="G17" t="s">
        <v>23</v>
      </c>
    </row>
    <row r="18" spans="1:7" x14ac:dyDescent="0.3">
      <c r="A18" t="s">
        <v>24</v>
      </c>
      <c r="B18" s="1">
        <v>1409</v>
      </c>
      <c r="C18" s="1">
        <v>1437</v>
      </c>
      <c r="D18" s="1">
        <v>1393.1</v>
      </c>
      <c r="E18" s="1">
        <v>1430.8</v>
      </c>
      <c r="F18" s="1">
        <v>1430.8</v>
      </c>
      <c r="G18" s="2">
        <v>30957881</v>
      </c>
    </row>
    <row r="19" spans="1:7" x14ac:dyDescent="0.3">
      <c r="A19" t="s">
        <v>25</v>
      </c>
      <c r="B19" s="1">
        <v>1392</v>
      </c>
      <c r="C19" s="1">
        <v>1433.8</v>
      </c>
      <c r="D19" s="1">
        <v>1391.3</v>
      </c>
      <c r="E19" s="1">
        <v>1425.4</v>
      </c>
      <c r="F19" s="1">
        <v>1425.4</v>
      </c>
      <c r="G19" s="2">
        <v>30542143</v>
      </c>
    </row>
    <row r="20" spans="1:7" x14ac:dyDescent="0.3">
      <c r="A20" t="s">
        <v>26</v>
      </c>
      <c r="B20" s="1">
        <v>1358</v>
      </c>
      <c r="C20" s="1">
        <v>1395.2</v>
      </c>
      <c r="D20" s="1">
        <v>1357</v>
      </c>
      <c r="E20" s="1">
        <v>1388.9</v>
      </c>
      <c r="F20" s="1">
        <v>1388.9</v>
      </c>
      <c r="G20" s="2">
        <v>41027699</v>
      </c>
    </row>
    <row r="21" spans="1:7" x14ac:dyDescent="0.3">
      <c r="A21" t="s">
        <v>27</v>
      </c>
      <c r="B21" s="1">
        <v>1313</v>
      </c>
      <c r="C21" s="1">
        <v>1371.6</v>
      </c>
      <c r="D21" s="1">
        <v>1311</v>
      </c>
      <c r="E21" s="1">
        <v>1365.8</v>
      </c>
      <c r="F21" s="1">
        <v>1365.8</v>
      </c>
      <c r="G21" s="2">
        <v>24673098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F27" sqref="F27"/>
    </sheetView>
  </sheetViews>
  <sheetFormatPr defaultRowHeight="14.4" x14ac:dyDescent="0.3"/>
  <cols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2331.1</v>
      </c>
      <c r="C2" s="1">
        <v>2340</v>
      </c>
      <c r="D2" s="1">
        <v>2308.1</v>
      </c>
      <c r="E2" s="1">
        <v>2317.3000000000002</v>
      </c>
      <c r="F2" s="1">
        <v>2286.3000000000002</v>
      </c>
      <c r="G2" s="2">
        <v>2617262</v>
      </c>
    </row>
    <row r="3" spans="1:7" x14ac:dyDescent="0.3">
      <c r="A3" t="s">
        <v>28</v>
      </c>
      <c r="B3" t="s">
        <v>29</v>
      </c>
    </row>
    <row r="4" spans="1:7" x14ac:dyDescent="0.3">
      <c r="A4" t="s">
        <v>8</v>
      </c>
      <c r="B4" s="1">
        <v>2331</v>
      </c>
      <c r="C4" s="1">
        <v>2335.9</v>
      </c>
      <c r="D4" s="1">
        <v>2314</v>
      </c>
      <c r="E4" s="1">
        <v>2327.1999999999998</v>
      </c>
      <c r="F4" s="1">
        <v>2296.0700000000002</v>
      </c>
      <c r="G4" s="2">
        <v>3299087</v>
      </c>
    </row>
    <row r="5" spans="1:7" x14ac:dyDescent="0.3">
      <c r="A5" t="s">
        <v>9</v>
      </c>
      <c r="B5" s="1">
        <v>2323.9</v>
      </c>
      <c r="C5" s="1">
        <v>2342</v>
      </c>
      <c r="D5" s="1">
        <v>2317.8000000000002</v>
      </c>
      <c r="E5" s="1">
        <v>2327.4</v>
      </c>
      <c r="F5" s="1">
        <v>2296.2600000000002</v>
      </c>
      <c r="G5" s="2">
        <v>2537422</v>
      </c>
    </row>
    <row r="6" spans="1:7" x14ac:dyDescent="0.3">
      <c r="A6" t="s">
        <v>10</v>
      </c>
      <c r="B6" s="1">
        <v>2300</v>
      </c>
      <c r="C6" s="1">
        <v>2377.6</v>
      </c>
      <c r="D6" s="1">
        <v>2297.1</v>
      </c>
      <c r="E6" s="1">
        <v>2327.1</v>
      </c>
      <c r="F6" s="1">
        <v>2295.9699999999998</v>
      </c>
      <c r="G6" s="2">
        <v>10394707</v>
      </c>
    </row>
    <row r="7" spans="1:7" x14ac:dyDescent="0.3">
      <c r="A7" t="s">
        <v>11</v>
      </c>
      <c r="B7" s="1">
        <v>2264</v>
      </c>
      <c r="C7" s="1">
        <v>2292.9</v>
      </c>
      <c r="D7" s="1">
        <v>2252.1999999999998</v>
      </c>
      <c r="E7" s="1">
        <v>2283.1999999999998</v>
      </c>
      <c r="F7" s="1">
        <v>2252.66</v>
      </c>
      <c r="G7" s="2">
        <v>3773336</v>
      </c>
    </row>
    <row r="8" spans="1:7" x14ac:dyDescent="0.3">
      <c r="A8" t="s">
        <v>12</v>
      </c>
      <c r="B8" s="1">
        <v>2252</v>
      </c>
      <c r="C8" s="1">
        <v>2304.9</v>
      </c>
      <c r="D8" s="1">
        <v>2252</v>
      </c>
      <c r="E8" s="1">
        <v>2264</v>
      </c>
      <c r="F8" s="1">
        <v>2233.71</v>
      </c>
      <c r="G8" s="2">
        <v>3410637</v>
      </c>
    </row>
    <row r="9" spans="1:7" x14ac:dyDescent="0.3">
      <c r="A9" t="s">
        <v>13</v>
      </c>
      <c r="B9" s="1">
        <v>2265</v>
      </c>
      <c r="C9" s="1">
        <v>2265</v>
      </c>
      <c r="D9" s="1">
        <v>2206.4</v>
      </c>
      <c r="E9" s="1">
        <v>2246</v>
      </c>
      <c r="F9" s="1">
        <v>2215.9499999999998</v>
      </c>
      <c r="G9" s="2">
        <v>5633313</v>
      </c>
    </row>
    <row r="10" spans="1:7" x14ac:dyDescent="0.3">
      <c r="A10" t="s">
        <v>14</v>
      </c>
      <c r="B10" s="1">
        <v>2306</v>
      </c>
      <c r="C10" s="1">
        <v>2309.1999999999998</v>
      </c>
      <c r="D10" s="1">
        <v>2269</v>
      </c>
      <c r="E10" s="1">
        <v>2272.8000000000002</v>
      </c>
      <c r="F10" s="1">
        <v>2242.4</v>
      </c>
      <c r="G10" s="2">
        <v>3171843</v>
      </c>
    </row>
    <row r="11" spans="1:7" x14ac:dyDescent="0.3">
      <c r="A11" t="s">
        <v>15</v>
      </c>
      <c r="B11" s="1">
        <v>2375</v>
      </c>
      <c r="C11" s="1">
        <v>2375</v>
      </c>
      <c r="D11" s="1">
        <v>2283</v>
      </c>
      <c r="E11" s="1">
        <v>2300.3000000000002</v>
      </c>
      <c r="F11" s="1">
        <v>2269.5300000000002</v>
      </c>
      <c r="G11" s="2">
        <v>6347884</v>
      </c>
    </row>
    <row r="12" spans="1:7" x14ac:dyDescent="0.3">
      <c r="A12" t="s">
        <v>16</v>
      </c>
      <c r="B12" s="1">
        <v>2371</v>
      </c>
      <c r="C12" s="1">
        <v>2415</v>
      </c>
      <c r="D12" s="1">
        <v>2371</v>
      </c>
      <c r="E12" s="1">
        <v>2392.9</v>
      </c>
      <c r="F12" s="1">
        <v>2360.89</v>
      </c>
      <c r="G12" s="2">
        <v>1975188</v>
      </c>
    </row>
    <row r="13" spans="1:7" x14ac:dyDescent="0.3">
      <c r="A13" t="s">
        <v>17</v>
      </c>
      <c r="B13" s="1">
        <v>2398</v>
      </c>
      <c r="C13" s="1">
        <v>2407</v>
      </c>
      <c r="D13" s="1">
        <v>2375.1</v>
      </c>
      <c r="E13" s="1">
        <v>2394.4</v>
      </c>
      <c r="F13" s="1">
        <v>2362.37</v>
      </c>
      <c r="G13" s="2">
        <v>3792199</v>
      </c>
    </row>
    <row r="14" spans="1:7" x14ac:dyDescent="0.3">
      <c r="A14" t="s">
        <v>18</v>
      </c>
      <c r="B14" s="1">
        <v>2438.1999999999998</v>
      </c>
      <c r="C14" s="1">
        <v>2439.6999999999998</v>
      </c>
      <c r="D14" s="1">
        <v>2398</v>
      </c>
      <c r="E14" s="1">
        <v>2401.4</v>
      </c>
      <c r="F14" s="1">
        <v>2369.27</v>
      </c>
      <c r="G14" s="2">
        <v>5829594</v>
      </c>
    </row>
    <row r="15" spans="1:7" x14ac:dyDescent="0.3">
      <c r="A15" t="s">
        <v>19</v>
      </c>
      <c r="B15" s="1">
        <v>2441.9</v>
      </c>
      <c r="C15" s="1">
        <v>2471</v>
      </c>
      <c r="D15" s="1">
        <v>2406.5</v>
      </c>
      <c r="E15" s="1">
        <v>2435.4</v>
      </c>
      <c r="F15" s="1">
        <v>2402.8200000000002</v>
      </c>
      <c r="G15" s="2">
        <v>3147628</v>
      </c>
    </row>
    <row r="16" spans="1:7" x14ac:dyDescent="0.3">
      <c r="A16" t="s">
        <v>20</v>
      </c>
      <c r="B16" s="1">
        <v>2430</v>
      </c>
      <c r="C16" s="1">
        <v>2460.4</v>
      </c>
      <c r="D16" s="1">
        <v>2412.1999999999998</v>
      </c>
      <c r="E16" s="1">
        <v>2427.3000000000002</v>
      </c>
      <c r="F16" s="1">
        <v>2394.83</v>
      </c>
      <c r="G16" s="2">
        <v>3385720</v>
      </c>
    </row>
    <row r="17" spans="1:7" x14ac:dyDescent="0.3">
      <c r="A17" t="s">
        <v>21</v>
      </c>
      <c r="B17" s="1">
        <v>2494</v>
      </c>
      <c r="C17" s="1">
        <v>2498.3000000000002</v>
      </c>
      <c r="D17" s="1">
        <v>2425</v>
      </c>
      <c r="E17" s="1">
        <v>2431.3000000000002</v>
      </c>
      <c r="F17" s="1">
        <v>2398.77</v>
      </c>
      <c r="G17" s="2">
        <v>2632358</v>
      </c>
    </row>
    <row r="18" spans="1:7" x14ac:dyDescent="0.3">
      <c r="A18" t="s">
        <v>22</v>
      </c>
      <c r="B18" s="1">
        <v>2473.9</v>
      </c>
      <c r="C18" s="1">
        <v>2473.9</v>
      </c>
      <c r="D18" s="1">
        <v>2473.9</v>
      </c>
      <c r="E18" s="1">
        <v>2473.9</v>
      </c>
      <c r="F18" s="1">
        <v>2440.8000000000002</v>
      </c>
      <c r="G18" t="s">
        <v>23</v>
      </c>
    </row>
    <row r="19" spans="1:7" x14ac:dyDescent="0.3">
      <c r="A19" t="s">
        <v>24</v>
      </c>
      <c r="B19" s="1">
        <v>2479</v>
      </c>
      <c r="C19" s="1">
        <v>2491</v>
      </c>
      <c r="D19" s="1">
        <v>2438</v>
      </c>
      <c r="E19" s="1">
        <v>2473.9</v>
      </c>
      <c r="F19" s="1">
        <v>2440.8000000000002</v>
      </c>
      <c r="G19" s="2">
        <v>3970446</v>
      </c>
    </row>
    <row r="20" spans="1:7" x14ac:dyDescent="0.3">
      <c r="A20" t="s">
        <v>25</v>
      </c>
      <c r="B20" s="1">
        <v>2451</v>
      </c>
      <c r="C20" s="1">
        <v>2487.9</v>
      </c>
      <c r="D20" s="1">
        <v>2447.6</v>
      </c>
      <c r="E20" s="1">
        <v>2474.6999999999998</v>
      </c>
      <c r="F20" s="1">
        <v>2441.59</v>
      </c>
      <c r="G20" s="2">
        <v>2835961</v>
      </c>
    </row>
    <row r="21" spans="1:7" x14ac:dyDescent="0.3">
      <c r="A21" t="s">
        <v>26</v>
      </c>
      <c r="B21" s="1">
        <v>2444</v>
      </c>
      <c r="C21" s="1">
        <v>2487</v>
      </c>
      <c r="D21" s="1">
        <v>2427.4</v>
      </c>
      <c r="E21" s="1">
        <v>2444.6999999999998</v>
      </c>
      <c r="F21" s="1">
        <v>2412</v>
      </c>
      <c r="G21" s="2">
        <v>4508363</v>
      </c>
    </row>
    <row r="22" spans="1:7" x14ac:dyDescent="0.3">
      <c r="A22" t="s">
        <v>27</v>
      </c>
      <c r="B22" s="1">
        <v>2396.9</v>
      </c>
      <c r="C22" s="1">
        <v>2459</v>
      </c>
      <c r="D22" s="1">
        <v>2396.9</v>
      </c>
      <c r="E22" s="1">
        <v>2447.6</v>
      </c>
      <c r="F22" s="1">
        <v>2414.86</v>
      </c>
      <c r="G22" s="2">
        <v>5853425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H7" sqref="H7"/>
    </sheetView>
  </sheetViews>
  <sheetFormatPr defaultRowHeight="14.4" x14ac:dyDescent="0.3"/>
  <cols>
    <col min="1" max="1" width="11.8867187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759.15</v>
      </c>
      <c r="C2">
        <v>775</v>
      </c>
      <c r="D2">
        <v>759.15</v>
      </c>
      <c r="E2">
        <v>766.8</v>
      </c>
      <c r="F2">
        <v>766.8</v>
      </c>
      <c r="G2" s="2">
        <v>25604071</v>
      </c>
    </row>
    <row r="3" spans="1:7" x14ac:dyDescent="0.3">
      <c r="A3" t="s">
        <v>8</v>
      </c>
      <c r="B3">
        <v>767</v>
      </c>
      <c r="C3">
        <v>768.25</v>
      </c>
      <c r="D3">
        <v>755.15</v>
      </c>
      <c r="E3">
        <v>759.15</v>
      </c>
      <c r="F3">
        <v>759.15</v>
      </c>
      <c r="G3" s="2">
        <v>34664725</v>
      </c>
    </row>
    <row r="4" spans="1:7" x14ac:dyDescent="0.3">
      <c r="A4" t="s">
        <v>9</v>
      </c>
      <c r="B4">
        <v>759.6</v>
      </c>
      <c r="C4">
        <v>762.25</v>
      </c>
      <c r="D4">
        <v>755.15</v>
      </c>
      <c r="E4">
        <v>759.5</v>
      </c>
      <c r="F4">
        <v>759.5</v>
      </c>
      <c r="G4" s="2">
        <v>24013451</v>
      </c>
    </row>
    <row r="5" spans="1:7" x14ac:dyDescent="0.3">
      <c r="A5" t="s">
        <v>10</v>
      </c>
      <c r="B5">
        <v>766.7</v>
      </c>
      <c r="C5">
        <v>770.8</v>
      </c>
      <c r="D5">
        <v>760.25</v>
      </c>
      <c r="E5">
        <v>762.45</v>
      </c>
      <c r="F5">
        <v>762.45</v>
      </c>
      <c r="G5" s="2">
        <v>40307830</v>
      </c>
    </row>
    <row r="6" spans="1:7" x14ac:dyDescent="0.3">
      <c r="A6" t="s">
        <v>11</v>
      </c>
      <c r="B6">
        <v>759</v>
      </c>
      <c r="C6">
        <v>774.1</v>
      </c>
      <c r="D6">
        <v>751.35</v>
      </c>
      <c r="E6">
        <v>768.65</v>
      </c>
      <c r="F6">
        <v>768.65</v>
      </c>
      <c r="G6" s="2">
        <v>29812079</v>
      </c>
    </row>
    <row r="7" spans="1:7" x14ac:dyDescent="0.3">
      <c r="A7" t="s">
        <v>12</v>
      </c>
      <c r="B7">
        <v>773</v>
      </c>
      <c r="C7">
        <v>781.9</v>
      </c>
      <c r="D7">
        <v>765.4</v>
      </c>
      <c r="E7">
        <v>767.5</v>
      </c>
      <c r="F7">
        <v>767.5</v>
      </c>
      <c r="G7" s="2">
        <v>24347873</v>
      </c>
    </row>
    <row r="8" spans="1:7" x14ac:dyDescent="0.3">
      <c r="A8" t="s">
        <v>13</v>
      </c>
      <c r="B8">
        <v>751</v>
      </c>
      <c r="C8">
        <v>778.3</v>
      </c>
      <c r="D8">
        <v>747</v>
      </c>
      <c r="E8">
        <v>769.55</v>
      </c>
      <c r="F8">
        <v>769.55</v>
      </c>
      <c r="G8" s="2">
        <v>50992358</v>
      </c>
    </row>
    <row r="9" spans="1:7" x14ac:dyDescent="0.3">
      <c r="A9" t="s">
        <v>14</v>
      </c>
      <c r="B9">
        <v>752</v>
      </c>
      <c r="C9">
        <v>759.95</v>
      </c>
      <c r="D9">
        <v>747.35</v>
      </c>
      <c r="E9">
        <v>749.6</v>
      </c>
      <c r="F9">
        <v>749.6</v>
      </c>
      <c r="G9" s="2">
        <v>28960919</v>
      </c>
    </row>
    <row r="10" spans="1:7" x14ac:dyDescent="0.3">
      <c r="A10" t="s">
        <v>15</v>
      </c>
      <c r="B10">
        <v>756.6</v>
      </c>
      <c r="C10">
        <v>759.7</v>
      </c>
      <c r="D10">
        <v>747.8</v>
      </c>
      <c r="E10">
        <v>750.45</v>
      </c>
      <c r="F10">
        <v>750.45</v>
      </c>
      <c r="G10" s="2">
        <v>43937132</v>
      </c>
    </row>
    <row r="11" spans="1:7" x14ac:dyDescent="0.3">
      <c r="A11" t="s">
        <v>16</v>
      </c>
      <c r="B11">
        <v>771.95</v>
      </c>
      <c r="C11">
        <v>774.85</v>
      </c>
      <c r="D11">
        <v>761.9</v>
      </c>
      <c r="E11">
        <v>763.65</v>
      </c>
      <c r="F11">
        <v>763.65</v>
      </c>
      <c r="G11" s="2">
        <v>41123422</v>
      </c>
    </row>
    <row r="12" spans="1:7" x14ac:dyDescent="0.3">
      <c r="A12" t="s">
        <v>17</v>
      </c>
      <c r="B12">
        <v>784</v>
      </c>
      <c r="C12">
        <v>788.75</v>
      </c>
      <c r="D12">
        <v>777.2</v>
      </c>
      <c r="E12">
        <v>780.85</v>
      </c>
      <c r="F12">
        <v>780.85</v>
      </c>
      <c r="G12" s="2">
        <v>38016841</v>
      </c>
    </row>
    <row r="13" spans="1:7" x14ac:dyDescent="0.3">
      <c r="A13" t="s">
        <v>18</v>
      </c>
      <c r="B13">
        <v>794</v>
      </c>
      <c r="C13">
        <v>801.55</v>
      </c>
      <c r="D13">
        <v>788.55</v>
      </c>
      <c r="E13">
        <v>796.05</v>
      </c>
      <c r="F13">
        <v>796.05</v>
      </c>
      <c r="G13" s="2">
        <v>46137553</v>
      </c>
    </row>
    <row r="14" spans="1:7" x14ac:dyDescent="0.3">
      <c r="A14" t="s">
        <v>19</v>
      </c>
      <c r="B14">
        <v>775.15</v>
      </c>
      <c r="C14">
        <v>798.95</v>
      </c>
      <c r="D14">
        <v>773.5</v>
      </c>
      <c r="E14">
        <v>796.55</v>
      </c>
      <c r="F14">
        <v>796.55</v>
      </c>
      <c r="G14" s="2">
        <v>35530831</v>
      </c>
    </row>
    <row r="15" spans="1:7" x14ac:dyDescent="0.3">
      <c r="A15" t="s">
        <v>20</v>
      </c>
      <c r="B15">
        <v>774.4</v>
      </c>
      <c r="C15">
        <v>776.9</v>
      </c>
      <c r="D15">
        <v>763.7</v>
      </c>
      <c r="E15">
        <v>772.3</v>
      </c>
      <c r="F15">
        <v>772.3</v>
      </c>
      <c r="G15" s="2">
        <v>38887657</v>
      </c>
    </row>
    <row r="16" spans="1:7" x14ac:dyDescent="0.3">
      <c r="A16" t="s">
        <v>21</v>
      </c>
      <c r="B16">
        <v>772.6</v>
      </c>
      <c r="C16">
        <v>786.6</v>
      </c>
      <c r="D16">
        <v>772.6</v>
      </c>
      <c r="E16">
        <v>779.4</v>
      </c>
      <c r="F16">
        <v>779.4</v>
      </c>
      <c r="G16" s="2">
        <v>29028060</v>
      </c>
    </row>
    <row r="17" spans="1:7" x14ac:dyDescent="0.3">
      <c r="A17" t="s">
        <v>22</v>
      </c>
      <c r="B17">
        <v>771.7</v>
      </c>
      <c r="C17">
        <v>771.7</v>
      </c>
      <c r="D17">
        <v>771.7</v>
      </c>
      <c r="E17">
        <v>771.7</v>
      </c>
      <c r="F17">
        <v>771.7</v>
      </c>
      <c r="G17" t="s">
        <v>23</v>
      </c>
    </row>
    <row r="18" spans="1:7" x14ac:dyDescent="0.3">
      <c r="A18" t="s">
        <v>24</v>
      </c>
      <c r="B18">
        <v>770</v>
      </c>
      <c r="C18">
        <v>778.8</v>
      </c>
      <c r="D18">
        <v>762.25</v>
      </c>
      <c r="E18">
        <v>771.7</v>
      </c>
      <c r="F18">
        <v>771.7</v>
      </c>
      <c r="G18" s="2">
        <v>47998755</v>
      </c>
    </row>
    <row r="19" spans="1:7" x14ac:dyDescent="0.3">
      <c r="A19" t="s">
        <v>25</v>
      </c>
      <c r="B19">
        <v>785.5</v>
      </c>
      <c r="C19">
        <v>790</v>
      </c>
      <c r="D19">
        <v>777.35</v>
      </c>
      <c r="E19">
        <v>779</v>
      </c>
      <c r="F19">
        <v>779</v>
      </c>
      <c r="G19" s="2">
        <v>25799963</v>
      </c>
    </row>
    <row r="20" spans="1:7" x14ac:dyDescent="0.3">
      <c r="A20" t="s">
        <v>26</v>
      </c>
      <c r="B20">
        <v>785</v>
      </c>
      <c r="C20">
        <v>794.5</v>
      </c>
      <c r="D20">
        <v>778.3</v>
      </c>
      <c r="E20">
        <v>782.55</v>
      </c>
      <c r="F20">
        <v>782.55</v>
      </c>
      <c r="G20" s="2">
        <v>35366803</v>
      </c>
    </row>
    <row r="21" spans="1:7" x14ac:dyDescent="0.3">
      <c r="A21" t="s">
        <v>27</v>
      </c>
      <c r="B21">
        <v>787.5</v>
      </c>
      <c r="C21">
        <v>793</v>
      </c>
      <c r="D21">
        <v>785</v>
      </c>
      <c r="E21">
        <v>789.8</v>
      </c>
      <c r="F21">
        <v>789.8</v>
      </c>
      <c r="G21" s="2">
        <v>18115375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H2" sqref="H2"/>
    </sheetView>
  </sheetViews>
  <sheetFormatPr defaultRowHeight="14.4" x14ac:dyDescent="0.3"/>
  <cols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>
        <v>1182.5</v>
      </c>
      <c r="C2" s="1">
        <v>1191.8</v>
      </c>
      <c r="D2" s="1">
        <v>1172.5</v>
      </c>
      <c r="E2" s="1">
        <v>1174.5</v>
      </c>
      <c r="F2" s="1">
        <v>1174.5</v>
      </c>
      <c r="G2" s="2">
        <v>8803066</v>
      </c>
    </row>
    <row r="3" spans="1:7" x14ac:dyDescent="0.3">
      <c r="A3" t="s">
        <v>8</v>
      </c>
      <c r="B3" s="1">
        <v>1196.0999999999999</v>
      </c>
      <c r="C3" s="1">
        <v>1201.8</v>
      </c>
      <c r="D3" s="1">
        <v>1177</v>
      </c>
      <c r="E3" s="1">
        <v>1181.2</v>
      </c>
      <c r="F3" s="1">
        <v>1181.2</v>
      </c>
      <c r="G3" s="2">
        <v>10021033</v>
      </c>
    </row>
    <row r="4" spans="1:7" x14ac:dyDescent="0.3">
      <c r="A4" t="s">
        <v>9</v>
      </c>
      <c r="B4" s="1">
        <v>1187</v>
      </c>
      <c r="C4" s="1">
        <v>1206.9000000000001</v>
      </c>
      <c r="D4" s="1">
        <v>1184.9000000000001</v>
      </c>
      <c r="E4" s="1">
        <v>1193.7</v>
      </c>
      <c r="F4" s="1">
        <v>1193.7</v>
      </c>
      <c r="G4" s="2">
        <v>15121010</v>
      </c>
    </row>
    <row r="5" spans="1:7" x14ac:dyDescent="0.3">
      <c r="A5" t="s">
        <v>10</v>
      </c>
      <c r="B5" s="1">
        <v>1162</v>
      </c>
      <c r="C5" s="1">
        <v>1198.4000000000001</v>
      </c>
      <c r="D5" s="1">
        <v>1162</v>
      </c>
      <c r="E5" s="1">
        <v>1196.9000000000001</v>
      </c>
      <c r="F5" s="1">
        <v>1196.9000000000001</v>
      </c>
      <c r="G5" s="2">
        <v>32175705</v>
      </c>
    </row>
    <row r="6" spans="1:7" x14ac:dyDescent="0.3">
      <c r="A6" t="s">
        <v>11</v>
      </c>
      <c r="B6" s="1">
        <v>1119</v>
      </c>
      <c r="C6" s="1">
        <v>1146.0999999999999</v>
      </c>
      <c r="D6" s="1">
        <v>1118</v>
      </c>
      <c r="E6" s="1">
        <v>1142.5</v>
      </c>
      <c r="F6" s="1">
        <v>1142.5</v>
      </c>
      <c r="G6" s="2">
        <v>12096377</v>
      </c>
    </row>
    <row r="7" spans="1:7" x14ac:dyDescent="0.3">
      <c r="A7" t="s">
        <v>12</v>
      </c>
      <c r="B7" s="1">
        <v>1102</v>
      </c>
      <c r="C7" s="1">
        <v>1133.2</v>
      </c>
      <c r="D7" s="1">
        <v>1101.5999999999999</v>
      </c>
      <c r="E7" s="1">
        <v>1119</v>
      </c>
      <c r="F7" s="1">
        <v>1119</v>
      </c>
      <c r="G7" s="2">
        <v>17482450</v>
      </c>
    </row>
    <row r="8" spans="1:7" x14ac:dyDescent="0.3">
      <c r="A8" t="s">
        <v>13</v>
      </c>
      <c r="B8" s="1">
        <v>1119.8</v>
      </c>
      <c r="C8" s="1">
        <v>1121.9000000000001</v>
      </c>
      <c r="D8" s="1">
        <v>1089</v>
      </c>
      <c r="E8" s="1">
        <v>1095</v>
      </c>
      <c r="F8" s="1">
        <v>1095</v>
      </c>
      <c r="G8" s="2">
        <v>16914842</v>
      </c>
    </row>
    <row r="9" spans="1:7" x14ac:dyDescent="0.3">
      <c r="A9" t="s">
        <v>14</v>
      </c>
      <c r="B9" s="1">
        <v>1136.5999999999999</v>
      </c>
      <c r="C9" s="1">
        <v>1142.5999999999999</v>
      </c>
      <c r="D9" s="1">
        <v>1121</v>
      </c>
      <c r="E9" s="1">
        <v>1123.0999999999999</v>
      </c>
      <c r="F9" s="1">
        <v>1123.0999999999999</v>
      </c>
      <c r="G9" s="2">
        <v>6664111</v>
      </c>
    </row>
    <row r="10" spans="1:7" x14ac:dyDescent="0.3">
      <c r="A10" t="s">
        <v>15</v>
      </c>
      <c r="B10" s="1">
        <v>1162</v>
      </c>
      <c r="C10" s="1">
        <v>1162</v>
      </c>
      <c r="D10" s="1">
        <v>1123</v>
      </c>
      <c r="E10" s="1">
        <v>1140.3</v>
      </c>
      <c r="F10" s="1">
        <v>1140.3</v>
      </c>
      <c r="G10" s="2">
        <v>16891948</v>
      </c>
    </row>
    <row r="11" spans="1:7" x14ac:dyDescent="0.3">
      <c r="A11" t="s">
        <v>16</v>
      </c>
      <c r="B11" s="1">
        <v>1176</v>
      </c>
      <c r="C11" s="1">
        <v>1187</v>
      </c>
      <c r="D11" s="1">
        <v>1172.0999999999999</v>
      </c>
      <c r="E11" s="1">
        <v>1177</v>
      </c>
      <c r="F11" s="1">
        <v>1177</v>
      </c>
      <c r="G11" s="2">
        <v>7336288</v>
      </c>
    </row>
    <row r="12" spans="1:7" x14ac:dyDescent="0.3">
      <c r="A12" t="s">
        <v>17</v>
      </c>
      <c r="B12" s="1">
        <v>1161</v>
      </c>
      <c r="C12" s="1">
        <v>1183.5</v>
      </c>
      <c r="D12" s="1">
        <v>1158.8</v>
      </c>
      <c r="E12" s="1">
        <v>1179.2</v>
      </c>
      <c r="F12" s="1">
        <v>1179.2</v>
      </c>
      <c r="G12" s="2">
        <v>7582770</v>
      </c>
    </row>
    <row r="13" spans="1:7" x14ac:dyDescent="0.3">
      <c r="A13" t="s">
        <v>18</v>
      </c>
      <c r="B13" s="1">
        <v>1173</v>
      </c>
      <c r="C13" s="1">
        <v>1175.4000000000001</v>
      </c>
      <c r="D13" s="1">
        <v>1159.2</v>
      </c>
      <c r="E13" s="1">
        <v>1162.7</v>
      </c>
      <c r="F13" s="1">
        <v>1162.7</v>
      </c>
      <c r="G13" s="2">
        <v>12013987</v>
      </c>
    </row>
    <row r="14" spans="1:7" x14ac:dyDescent="0.3">
      <c r="A14" t="s">
        <v>19</v>
      </c>
      <c r="B14" s="1">
        <v>1187</v>
      </c>
      <c r="C14" s="1">
        <v>1191.5</v>
      </c>
      <c r="D14" s="1">
        <v>1164.0999999999999</v>
      </c>
      <c r="E14" s="1">
        <v>1167.2</v>
      </c>
      <c r="F14" s="1">
        <v>1167.2</v>
      </c>
      <c r="G14" s="2">
        <v>9856963</v>
      </c>
    </row>
    <row r="15" spans="1:7" x14ac:dyDescent="0.3">
      <c r="A15" t="s">
        <v>20</v>
      </c>
      <c r="B15" s="1">
        <v>1169.5</v>
      </c>
      <c r="C15" s="1">
        <v>1185.2</v>
      </c>
      <c r="D15" s="1">
        <v>1160.0999999999999</v>
      </c>
      <c r="E15" s="1">
        <v>1178.0999999999999</v>
      </c>
      <c r="F15" s="1">
        <v>1178.0999999999999</v>
      </c>
      <c r="G15" s="2">
        <v>8164108</v>
      </c>
    </row>
    <row r="16" spans="1:7" x14ac:dyDescent="0.3">
      <c r="A16" t="s">
        <v>21</v>
      </c>
      <c r="B16" s="1">
        <v>1195</v>
      </c>
      <c r="C16" s="1">
        <v>1195</v>
      </c>
      <c r="D16" s="1">
        <v>1165.2</v>
      </c>
      <c r="E16" s="1">
        <v>1168.4000000000001</v>
      </c>
      <c r="F16" s="1">
        <v>1168.4000000000001</v>
      </c>
      <c r="G16" s="2">
        <v>7735811</v>
      </c>
    </row>
    <row r="17" spans="1:7" x14ac:dyDescent="0.3">
      <c r="A17" t="s">
        <v>22</v>
      </c>
      <c r="B17" s="1">
        <v>1181.8</v>
      </c>
      <c r="C17" s="1">
        <v>1181.8</v>
      </c>
      <c r="D17" s="1">
        <v>1181.8</v>
      </c>
      <c r="E17" s="1">
        <v>1181.8</v>
      </c>
      <c r="F17" s="1">
        <v>1181.8</v>
      </c>
      <c r="G17" t="s">
        <v>23</v>
      </c>
    </row>
    <row r="18" spans="1:7" x14ac:dyDescent="0.3">
      <c r="A18" t="s">
        <v>24</v>
      </c>
      <c r="B18" s="1">
        <v>1167.5</v>
      </c>
      <c r="C18" s="1">
        <v>1189.8</v>
      </c>
      <c r="D18" s="1">
        <v>1159.5999999999999</v>
      </c>
      <c r="E18" s="1">
        <v>1181.8</v>
      </c>
      <c r="F18" s="1">
        <v>1181.8</v>
      </c>
      <c r="G18" s="2">
        <v>12205669</v>
      </c>
    </row>
    <row r="19" spans="1:7" x14ac:dyDescent="0.3">
      <c r="A19" t="s">
        <v>25</v>
      </c>
      <c r="B19" s="1">
        <v>1158.5</v>
      </c>
      <c r="C19" s="1">
        <v>1178.2</v>
      </c>
      <c r="D19" s="1">
        <v>1156.8</v>
      </c>
      <c r="E19" s="1">
        <v>1167.5</v>
      </c>
      <c r="F19" s="1">
        <v>1167.5</v>
      </c>
      <c r="G19" s="2">
        <v>8303109</v>
      </c>
    </row>
    <row r="20" spans="1:7" x14ac:dyDescent="0.3">
      <c r="A20" t="s">
        <v>26</v>
      </c>
      <c r="B20" s="1">
        <v>1162.7</v>
      </c>
      <c r="C20" s="1">
        <v>1169.4000000000001</v>
      </c>
      <c r="D20" s="1">
        <v>1149.8</v>
      </c>
      <c r="E20" s="1">
        <v>1152.0999999999999</v>
      </c>
      <c r="F20" s="1">
        <v>1152.0999999999999</v>
      </c>
      <c r="G20" s="2">
        <v>12720276</v>
      </c>
    </row>
    <row r="21" spans="1:7" x14ac:dyDescent="0.3">
      <c r="A21" t="s">
        <v>27</v>
      </c>
      <c r="B21" s="1">
        <v>1154.5999999999999</v>
      </c>
      <c r="C21" s="1">
        <v>1179.9000000000001</v>
      </c>
      <c r="D21" s="1">
        <v>1154.5</v>
      </c>
      <c r="E21" s="1">
        <v>1170.3</v>
      </c>
      <c r="F21" s="1">
        <v>1170.3</v>
      </c>
      <c r="G21" s="2">
        <v>19579883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H6" sqref="H6"/>
    </sheetView>
  </sheetViews>
  <sheetFormatPr defaultRowHeight="14.4" x14ac:dyDescent="0.3"/>
  <cols>
    <col min="1" max="1" width="11.88671875" bestFit="1" customWidth="1"/>
    <col min="7" max="7" width="10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200</v>
      </c>
      <c r="C2">
        <v>205.4</v>
      </c>
      <c r="D2">
        <v>198.83</v>
      </c>
      <c r="E2">
        <v>203.11</v>
      </c>
      <c r="F2">
        <v>203.11</v>
      </c>
      <c r="G2" s="2">
        <v>40014399</v>
      </c>
    </row>
    <row r="3" spans="1:7" x14ac:dyDescent="0.3">
      <c r="A3" t="s">
        <v>8</v>
      </c>
      <c r="B3">
        <v>198.5</v>
      </c>
      <c r="C3">
        <v>200.04</v>
      </c>
      <c r="D3">
        <v>197.5</v>
      </c>
      <c r="E3">
        <v>199.74</v>
      </c>
      <c r="F3">
        <v>199.74</v>
      </c>
      <c r="G3" s="2">
        <v>18980608</v>
      </c>
    </row>
    <row r="4" spans="1:7" x14ac:dyDescent="0.3">
      <c r="A4" t="s">
        <v>9</v>
      </c>
      <c r="B4">
        <v>194.61</v>
      </c>
      <c r="C4">
        <v>197.94</v>
      </c>
      <c r="D4">
        <v>194.01</v>
      </c>
      <c r="E4">
        <v>197.12</v>
      </c>
      <c r="F4">
        <v>197.12</v>
      </c>
      <c r="G4" s="2">
        <v>16201692</v>
      </c>
    </row>
    <row r="5" spans="1:7" x14ac:dyDescent="0.3">
      <c r="A5" t="s">
        <v>10</v>
      </c>
      <c r="B5">
        <v>192.4</v>
      </c>
      <c r="C5">
        <v>198</v>
      </c>
      <c r="D5">
        <v>192.4</v>
      </c>
      <c r="E5">
        <v>195.17</v>
      </c>
      <c r="F5">
        <v>195.17</v>
      </c>
      <c r="G5" s="2">
        <v>20534622</v>
      </c>
    </row>
    <row r="6" spans="1:7" x14ac:dyDescent="0.3">
      <c r="A6" t="s">
        <v>11</v>
      </c>
      <c r="B6">
        <v>190.99</v>
      </c>
      <c r="C6">
        <v>192.75</v>
      </c>
      <c r="D6">
        <v>189.2</v>
      </c>
      <c r="E6">
        <v>192.17</v>
      </c>
      <c r="F6">
        <v>192.17</v>
      </c>
      <c r="G6" s="2">
        <v>16327369</v>
      </c>
    </row>
    <row r="7" spans="1:7" x14ac:dyDescent="0.3">
      <c r="A7" t="s">
        <v>12</v>
      </c>
      <c r="B7">
        <v>189.9</v>
      </c>
      <c r="C7">
        <v>191.9</v>
      </c>
      <c r="D7">
        <v>188.8</v>
      </c>
      <c r="E7">
        <v>190</v>
      </c>
      <c r="F7">
        <v>190</v>
      </c>
      <c r="G7" s="2">
        <v>17902610</v>
      </c>
    </row>
    <row r="8" spans="1:7" x14ac:dyDescent="0.3">
      <c r="A8" t="s">
        <v>13</v>
      </c>
      <c r="B8">
        <v>188.25</v>
      </c>
      <c r="C8">
        <v>190.18</v>
      </c>
      <c r="D8">
        <v>187</v>
      </c>
      <c r="E8">
        <v>188.3</v>
      </c>
      <c r="F8">
        <v>188.3</v>
      </c>
      <c r="G8" s="2">
        <v>18280387</v>
      </c>
    </row>
    <row r="9" spans="1:7" x14ac:dyDescent="0.3">
      <c r="A9" t="s">
        <v>14</v>
      </c>
      <c r="B9">
        <v>190.67</v>
      </c>
      <c r="C9">
        <v>191.3</v>
      </c>
      <c r="D9">
        <v>187.31</v>
      </c>
      <c r="E9">
        <v>187.8</v>
      </c>
      <c r="F9">
        <v>187.8</v>
      </c>
      <c r="G9" s="2">
        <v>17242394</v>
      </c>
    </row>
    <row r="10" spans="1:7" x14ac:dyDescent="0.3">
      <c r="A10" t="s">
        <v>15</v>
      </c>
      <c r="B10">
        <v>196.1</v>
      </c>
      <c r="C10">
        <v>196.14</v>
      </c>
      <c r="D10">
        <v>189.1</v>
      </c>
      <c r="E10">
        <v>189.57</v>
      </c>
      <c r="F10">
        <v>189.57</v>
      </c>
      <c r="G10" s="2">
        <v>27435195</v>
      </c>
    </row>
    <row r="11" spans="1:7" x14ac:dyDescent="0.3">
      <c r="A11" t="s">
        <v>16</v>
      </c>
      <c r="B11">
        <v>197.88</v>
      </c>
      <c r="C11">
        <v>198.24</v>
      </c>
      <c r="D11">
        <v>196.15</v>
      </c>
      <c r="E11">
        <v>196.68</v>
      </c>
      <c r="F11">
        <v>196.68</v>
      </c>
      <c r="G11" s="2">
        <v>9199527</v>
      </c>
    </row>
    <row r="12" spans="1:7" x14ac:dyDescent="0.3">
      <c r="A12" t="s">
        <v>17</v>
      </c>
      <c r="B12">
        <v>198</v>
      </c>
      <c r="C12">
        <v>198.94</v>
      </c>
      <c r="D12">
        <v>196.7</v>
      </c>
      <c r="E12">
        <v>197.91</v>
      </c>
      <c r="F12">
        <v>197.91</v>
      </c>
      <c r="G12" s="2">
        <v>15970687</v>
      </c>
    </row>
    <row r="13" spans="1:7" x14ac:dyDescent="0.3">
      <c r="A13" t="s">
        <v>18</v>
      </c>
      <c r="B13">
        <v>199.5</v>
      </c>
      <c r="C13">
        <v>200.28</v>
      </c>
      <c r="D13">
        <v>197.19</v>
      </c>
      <c r="E13">
        <v>197.36</v>
      </c>
      <c r="F13">
        <v>197.36</v>
      </c>
      <c r="G13" s="2">
        <v>19303572</v>
      </c>
    </row>
    <row r="14" spans="1:7" x14ac:dyDescent="0.3">
      <c r="A14" t="s">
        <v>19</v>
      </c>
      <c r="B14">
        <v>200.51</v>
      </c>
      <c r="C14">
        <v>201.13</v>
      </c>
      <c r="D14">
        <v>198.25</v>
      </c>
      <c r="E14">
        <v>199.12</v>
      </c>
      <c r="F14">
        <v>199.12</v>
      </c>
      <c r="G14" s="2">
        <v>13166683</v>
      </c>
    </row>
    <row r="15" spans="1:7" x14ac:dyDescent="0.3">
      <c r="A15" t="s">
        <v>20</v>
      </c>
      <c r="B15">
        <v>200</v>
      </c>
      <c r="C15">
        <v>202.3</v>
      </c>
      <c r="D15">
        <v>199.6</v>
      </c>
      <c r="E15">
        <v>199.78</v>
      </c>
      <c r="F15">
        <v>199.78</v>
      </c>
      <c r="G15" s="2">
        <v>8899200</v>
      </c>
    </row>
    <row r="16" spans="1:7" x14ac:dyDescent="0.3">
      <c r="A16" t="s">
        <v>21</v>
      </c>
      <c r="B16">
        <v>202.4</v>
      </c>
      <c r="C16">
        <v>203.37</v>
      </c>
      <c r="D16">
        <v>200.06</v>
      </c>
      <c r="E16">
        <v>200.75</v>
      </c>
      <c r="F16">
        <v>200.75</v>
      </c>
      <c r="G16" s="2">
        <v>8446995</v>
      </c>
    </row>
    <row r="17" spans="1:7" x14ac:dyDescent="0.3">
      <c r="A17" t="s">
        <v>22</v>
      </c>
      <c r="B17">
        <v>200.65</v>
      </c>
      <c r="C17">
        <v>200.65</v>
      </c>
      <c r="D17">
        <v>200.65</v>
      </c>
      <c r="E17">
        <v>200.65</v>
      </c>
      <c r="F17">
        <v>200.65</v>
      </c>
      <c r="G17" t="s">
        <v>23</v>
      </c>
    </row>
    <row r="18" spans="1:7" x14ac:dyDescent="0.3">
      <c r="A18" t="s">
        <v>24</v>
      </c>
      <c r="B18">
        <v>200.89</v>
      </c>
      <c r="C18">
        <v>202.15</v>
      </c>
      <c r="D18">
        <v>200</v>
      </c>
      <c r="E18">
        <v>200.65</v>
      </c>
      <c r="F18">
        <v>200.65</v>
      </c>
      <c r="G18" s="2">
        <v>15300274</v>
      </c>
    </row>
    <row r="19" spans="1:7" x14ac:dyDescent="0.3">
      <c r="A19" t="s">
        <v>25</v>
      </c>
      <c r="B19">
        <v>201.58</v>
      </c>
      <c r="C19">
        <v>203.6</v>
      </c>
      <c r="D19">
        <v>200.3</v>
      </c>
      <c r="E19">
        <v>200.68</v>
      </c>
      <c r="F19">
        <v>200.68</v>
      </c>
      <c r="G19" s="2">
        <v>15667662</v>
      </c>
    </row>
    <row r="20" spans="1:7" x14ac:dyDescent="0.3">
      <c r="A20" t="s">
        <v>26</v>
      </c>
      <c r="B20">
        <v>204.56</v>
      </c>
      <c r="C20">
        <v>205.68</v>
      </c>
      <c r="D20">
        <v>201.02</v>
      </c>
      <c r="E20">
        <v>201.58</v>
      </c>
      <c r="F20">
        <v>201.58</v>
      </c>
      <c r="G20" s="2">
        <v>23455983</v>
      </c>
    </row>
    <row r="21" spans="1:7" x14ac:dyDescent="0.3">
      <c r="A21" t="s">
        <v>27</v>
      </c>
      <c r="B21">
        <v>199.36</v>
      </c>
      <c r="C21">
        <v>205.25</v>
      </c>
      <c r="D21">
        <v>199.36</v>
      </c>
      <c r="E21">
        <v>205.05</v>
      </c>
      <c r="F21">
        <v>205.05</v>
      </c>
      <c r="G21" s="2">
        <v>42632215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"/>
  <sheetViews>
    <sheetView showGridLines="0" topLeftCell="A22" workbookViewId="0">
      <selection activeCell="G15" sqref="G15"/>
    </sheetView>
  </sheetViews>
  <sheetFormatPr defaultRowHeight="14.4" x14ac:dyDescent="0.3"/>
  <cols>
    <col min="2" max="2" width="13.77734375" customWidth="1"/>
  </cols>
  <sheetData>
    <row r="2" spans="2:10" ht="25.8" x14ac:dyDescent="0.5">
      <c r="B2" s="21" t="s">
        <v>43</v>
      </c>
      <c r="C2" s="21"/>
      <c r="D2" s="21"/>
      <c r="E2" s="21"/>
      <c r="F2" s="21"/>
      <c r="G2" s="21"/>
      <c r="H2" s="21"/>
      <c r="I2" s="21"/>
      <c r="J2" s="21"/>
    </row>
    <row r="3" spans="2:10" x14ac:dyDescent="0.3">
      <c r="B3" s="22" t="s">
        <v>44</v>
      </c>
      <c r="C3" s="22"/>
      <c r="D3" s="22"/>
      <c r="E3" s="22"/>
      <c r="F3" s="22"/>
      <c r="G3" s="22"/>
      <c r="H3" s="22"/>
      <c r="I3" s="22"/>
      <c r="J3" s="22"/>
    </row>
    <row r="5" spans="2:10" x14ac:dyDescent="0.3">
      <c r="B5" s="12" t="s">
        <v>36</v>
      </c>
      <c r="C5" s="12" t="s">
        <v>37</v>
      </c>
      <c r="D5" s="12" t="s">
        <v>31</v>
      </c>
      <c r="E5" s="12" t="s">
        <v>32</v>
      </c>
      <c r="F5" s="12" t="s">
        <v>33</v>
      </c>
      <c r="G5" s="12" t="s">
        <v>38</v>
      </c>
    </row>
    <row r="6" spans="2:10" x14ac:dyDescent="0.3">
      <c r="B6" s="13" t="s">
        <v>45</v>
      </c>
      <c r="C6" s="14">
        <f>Comparison!B26</f>
        <v>1463.6</v>
      </c>
      <c r="D6" s="14">
        <f>Comparison!C26</f>
        <v>2474.6999999999998</v>
      </c>
      <c r="E6" s="14">
        <f>Comparison!D26</f>
        <v>796.55</v>
      </c>
      <c r="F6" s="14">
        <f>Comparison!E26</f>
        <v>1196.9000000000001</v>
      </c>
      <c r="G6" s="14">
        <f>Comparison!F26</f>
        <v>205.05</v>
      </c>
    </row>
    <row r="7" spans="2:10" x14ac:dyDescent="0.3">
      <c r="B7" s="15" t="s">
        <v>46</v>
      </c>
      <c r="C7" s="16">
        <f>Comparison!C26</f>
        <v>2474.6999999999998</v>
      </c>
      <c r="D7" s="16">
        <f>Comparison!D26</f>
        <v>796.55</v>
      </c>
      <c r="E7" s="16">
        <f>Comparison!E26</f>
        <v>1196.9000000000001</v>
      </c>
      <c r="F7" s="16">
        <f>Comparison!F26</f>
        <v>205.05</v>
      </c>
      <c r="G7" s="16">
        <f>Comparison!G26</f>
        <v>0</v>
      </c>
    </row>
    <row r="8" spans="2:10" x14ac:dyDescent="0.3">
      <c r="B8" s="17" t="s">
        <v>47</v>
      </c>
      <c r="C8" s="18">
        <f>Comparison!B28</f>
        <v>1390.4649999999999</v>
      </c>
      <c r="D8" s="18">
        <f>Comparison!C28</f>
        <v>2373.1400000000003</v>
      </c>
      <c r="E8" s="18">
        <f>Comparison!D28</f>
        <v>771.8599999999999</v>
      </c>
      <c r="F8" s="18">
        <f>Comparison!E28</f>
        <v>1162.615</v>
      </c>
      <c r="G8" s="18">
        <f>Comparison!F28</f>
        <v>197.15950000000001</v>
      </c>
    </row>
    <row r="9" spans="2:10" x14ac:dyDescent="0.3">
      <c r="B9" s="19" t="s">
        <v>48</v>
      </c>
      <c r="C9" s="20">
        <f>Comparison!B29</f>
        <v>-11.299999999999955</v>
      </c>
      <c r="D9" s="20">
        <f>Comparison!C29</f>
        <v>-130.29999999999973</v>
      </c>
      <c r="E9" s="20">
        <f>Comparison!D29</f>
        <v>-23</v>
      </c>
      <c r="F9" s="20">
        <f>Comparison!E29</f>
        <v>4.2000000000000455</v>
      </c>
      <c r="G9" s="20">
        <f>Comparison!F29</f>
        <v>-1.9399999999999977</v>
      </c>
    </row>
    <row r="11" spans="2:10" x14ac:dyDescent="0.3">
      <c r="B11" s="3" t="s">
        <v>49</v>
      </c>
    </row>
    <row r="12" spans="2:10" x14ac:dyDescent="0.3">
      <c r="B12" s="11" t="s">
        <v>50</v>
      </c>
      <c r="C12" s="11"/>
      <c r="D12" s="11"/>
      <c r="E12" s="11"/>
      <c r="F12" s="11"/>
    </row>
    <row r="13" spans="2:10" x14ac:dyDescent="0.3">
      <c r="B13" s="11" t="s">
        <v>54</v>
      </c>
      <c r="C13" s="11"/>
      <c r="D13" s="11"/>
      <c r="E13" s="11"/>
      <c r="F13" s="11"/>
    </row>
    <row r="14" spans="2:10" x14ac:dyDescent="0.3">
      <c r="B14" s="11" t="s">
        <v>52</v>
      </c>
      <c r="C14" s="11"/>
      <c r="D14" s="11"/>
      <c r="E14" s="11"/>
      <c r="F14" s="11"/>
    </row>
    <row r="15" spans="2:10" x14ac:dyDescent="0.3">
      <c r="B15" s="11" t="s">
        <v>51</v>
      </c>
      <c r="C15" s="11"/>
      <c r="D15" s="11"/>
      <c r="E15" s="11"/>
      <c r="F15" s="11"/>
    </row>
    <row r="16" spans="2:10" x14ac:dyDescent="0.3">
      <c r="B16" s="11" t="s">
        <v>53</v>
      </c>
      <c r="C16" s="11"/>
      <c r="D16" s="11"/>
      <c r="E16" s="11"/>
      <c r="F16" s="11"/>
    </row>
  </sheetData>
  <mergeCells count="2">
    <mergeCell ref="B2:J2"/>
    <mergeCell ref="B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Comparison</vt:lpstr>
      <vt:lpstr>Reliance</vt:lpstr>
      <vt:lpstr>TCS</vt:lpstr>
      <vt:lpstr>HDFC</vt:lpstr>
      <vt:lpstr>INFY</vt:lpstr>
      <vt:lpstr>WIPRO</vt:lpstr>
      <vt:lpstr>Dashboard</vt:lpstr>
      <vt:lpstr>Chart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2026-05-26T08:04:04Z</dcterms:created>
  <dcterms:modified xsi:type="dcterms:W3CDTF">2026-09-18T10:56:34Z</dcterms:modified>
</cp:coreProperties>
</file>